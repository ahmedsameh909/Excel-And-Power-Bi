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E:\Depi\soft skills\"/>
    </mc:Choice>
  </mc:AlternateContent>
  <xr:revisionPtr revIDLastSave="0" documentId="13_ncr:1_{DFED917C-AC15-41F2-9525-FFD40FF3CFC5}" xr6:coauthVersionLast="47" xr6:coauthVersionMax="47" xr10:uidLastSave="{00000000-0000-0000-0000-000000000000}"/>
  <bookViews>
    <workbookView xWindow="-108" yWindow="-108" windowWidth="23256" windowHeight="12456" firstSheet="1" activeTab="8" xr2:uid="{00000000-000D-0000-FFFF-FFFF00000000}"/>
  </bookViews>
  <sheets>
    <sheet name="Onstream Performance" sheetId="5" r:id="rId1"/>
    <sheet name="Utility Consumption" sheetId="21" r:id="rId2"/>
    <sheet name="Specific Consumption" sheetId="22" r:id="rId3"/>
    <sheet name="Alarm Statistics" sheetId="23" r:id="rId4"/>
    <sheet name="Production" sheetId="24" r:id="rId5"/>
    <sheet name="planet" sheetId="14" state="hidden" r:id="rId6"/>
    <sheet name="Date" sheetId="13" state="hidden" r:id="rId7"/>
    <sheet name="utility" sheetId="15" state="hidden" r:id="rId8"/>
    <sheet name="Dashboard" sheetId="12" r:id="rId9"/>
  </sheets>
  <externalReferences>
    <externalReference r:id="rId10"/>
  </externalReferences>
  <definedNames>
    <definedName name="_xlcn.WorksheetConnection_freelancer.xlsxplanet" hidden="1">planet[]</definedName>
    <definedName name="_xlcn.WorksheetConnection_freelancer.xlsxTable7" hidden="1">Date[]</definedName>
    <definedName name="_xlcn.WorksheetConnection_freelancer.xlsxutility" hidden="1">utility[]</definedName>
    <definedName name="Slicer_Dates">#N/A</definedName>
    <definedName name="Slicer_planet">#N/A</definedName>
    <definedName name="Slicer_utility_name">#N/A</definedName>
  </definedNames>
  <calcPr calcId="191029"/>
  <extLst>
    <ext xmlns:x14="http://schemas.microsoft.com/office/spreadsheetml/2009/9/main" uri="{876F7934-8845-4945-9796-88D515C7AA90}">
      <x14:pivotCaches>
        <pivotCache cacheId="0"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841E416B-1EF1-43b6-AB56-02D37102CBD5}">
      <x15:pivotCaches>
        <pivotCache cacheId="1" r:id="rId15"/>
        <pivotCache cacheId="2" r:id="rId16"/>
        <pivotCache cacheId="3" r:id="rId17"/>
        <pivotCache cacheId="4" r:id="rId18"/>
        <pivotCache cacheId="5" r:id="rId19"/>
        <pivotCache cacheId="6" r:id="rId20"/>
      </x15:pivotCaches>
    </ext>
    <ext xmlns:x15="http://schemas.microsoft.com/office/spreadsheetml/2010/11/main" uri="{983426D0-5260-488c-9760-48F4B6AC55F4}">
      <x15:pivotTableReferences>
        <x15:pivotTableReference r:id="rId21"/>
        <x15:pivotTableReference r:id="rId22"/>
        <x15:pivotTableReference r:id="rId23"/>
        <x15:pivotTableReference r:id="rId24"/>
        <x15:pivotTableReference r:id="rId25"/>
        <x15:pivotTableReference r:id="rId26"/>
      </x15:pivotTableReferences>
    </ext>
    <ext xmlns:x15="http://schemas.microsoft.com/office/spreadsheetml/2010/11/main" uri="{FCE2AD5D-F65C-4FA6-A056-5C36A1767C68}">
      <x15:dataModel>
        <x15:modelTables>
          <x15:modelTable id="Utility  3_ac8a5afc-7379-4357-aaf3-fa8715e4ba24" name="Utility  3" connection="Query - Utility (3)"/>
          <x15:modelTable id="Production  3_944f6c69-c169-4b0a-b2d2-b39a3cbf6d3b" name="Production  3" connection="Query - Production (3)"/>
          <x15:modelTable id="specific  3_82131ad6-3f82-41ea-a98d-a83dcc6a2161" name="specific  3" connection="Query - specific (3)"/>
          <x15:modelTable id="Alarm  3_1b9fa9cc-47f3-4397-a6e9-ac99758efe78" name="Alarm  3" connection="Query - Alarm (3)"/>
          <x15:modelTable id="utility" name="utility" connection="WorksheetConnection_freelancer.xlsx!utility"/>
          <x15:modelTable id="Table7" name="Date" connection="WorksheetConnection_freelancer.xlsx!Table7"/>
          <x15:modelTable id="planet" name="planet" connection="WorksheetConnection_freelancer.xlsx!planet"/>
        </x15:modelTables>
        <x15:modelRelationships>
          <x15:modelRelationship fromTable="Utility  3" fromColumn="Utility" toTable="utility" toColumn="utility name"/>
          <x15:modelRelationship fromTable="Utility  3" fromColumn="Date" toTable="Date" toColumn="Dates"/>
          <x15:modelRelationship fromTable="Utility  3" fromColumn="Plant" toTable="planet" toColumn="planet"/>
          <x15:modelRelationship fromTable="Production  3" fromColumn="Date" toTable="Date" toColumn="Dates"/>
          <x15:modelRelationship fromTable="Production  3" fromColumn="Plant" toTable="planet" toColumn="planet"/>
          <x15:modelRelationship fromTable="specific  3" fromColumn="Date" toTable="Date" toColumn="Dates"/>
          <x15:modelRelationship fromTable="specific  3" fromColumn="Plant" toTable="planet" toColumn="planet"/>
          <x15:modelRelationship fromTable="specific  3" fromColumn="Utility Name" toTable="utility" toColumn="utility name"/>
          <x15:modelRelationship fromTable="Alarm  3" fromColumn="Date" toTable="Date" toColumn="Dates"/>
          <x15:modelRelationship fromTable="Alarm  3" fromColumn="Plant" toTable="planet" toColumn="plane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2" i="24" l="1"/>
  <c r="Q22" i="24"/>
  <c r="P22" i="24"/>
  <c r="O22" i="24"/>
  <c r="N22" i="24"/>
  <c r="M22" i="24"/>
  <c r="L22" i="24"/>
  <c r="K22" i="24"/>
  <c r="J22" i="24"/>
  <c r="I22" i="24"/>
  <c r="H22" i="24"/>
  <c r="G22" i="24"/>
  <c r="F22" i="24"/>
  <c r="E22" i="24"/>
  <c r="D22" i="24"/>
  <c r="AG35" i="22"/>
  <c r="AE35" i="22"/>
  <c r="AC35" i="22"/>
  <c r="AA35" i="22"/>
  <c r="Y35" i="22"/>
  <c r="W35" i="22"/>
  <c r="U35" i="22"/>
  <c r="S35" i="22"/>
  <c r="Q35" i="22"/>
  <c r="O35" i="22"/>
  <c r="M35" i="22"/>
  <c r="K35" i="22"/>
  <c r="I35" i="22"/>
  <c r="G35" i="22"/>
  <c r="E35" i="22"/>
  <c r="AG34" i="22"/>
  <c r="AE34" i="22"/>
  <c r="AC34" i="22"/>
  <c r="AA34" i="22"/>
  <c r="Y34" i="22"/>
  <c r="W34" i="22"/>
  <c r="U34" i="22"/>
  <c r="S34" i="22"/>
  <c r="Q34" i="22"/>
  <c r="O34" i="22"/>
  <c r="M34" i="22"/>
  <c r="K34" i="22"/>
  <c r="I34" i="22"/>
  <c r="G34" i="22"/>
  <c r="E34" i="22"/>
  <c r="AG33" i="22"/>
  <c r="AE33" i="22"/>
  <c r="AC33" i="22"/>
  <c r="AA33" i="22"/>
  <c r="Y33" i="22"/>
  <c r="W33" i="22"/>
  <c r="U33" i="22"/>
  <c r="S33" i="22"/>
  <c r="Q33" i="22"/>
  <c r="O33" i="22"/>
  <c r="M33" i="22"/>
  <c r="K33" i="22"/>
  <c r="I33" i="22"/>
  <c r="G33" i="22"/>
  <c r="E33" i="22"/>
  <c r="AG32" i="22"/>
  <c r="AE32" i="22"/>
  <c r="AC32" i="22"/>
  <c r="AA32" i="22"/>
  <c r="Y32" i="22"/>
  <c r="W32" i="22"/>
  <c r="U32" i="22"/>
  <c r="S32" i="22"/>
  <c r="Q32" i="22"/>
  <c r="O32" i="22"/>
  <c r="M32" i="22"/>
  <c r="K32" i="22"/>
  <c r="I32" i="22"/>
  <c r="G32" i="22"/>
  <c r="E32" i="22"/>
  <c r="AG31" i="22"/>
  <c r="AE31" i="22"/>
  <c r="AC31" i="22"/>
  <c r="AA31" i="22"/>
  <c r="Y31" i="22"/>
  <c r="W31" i="22"/>
  <c r="U31" i="22"/>
  <c r="S31" i="22"/>
  <c r="Q31" i="22"/>
  <c r="O31" i="22"/>
  <c r="M31" i="22"/>
  <c r="K31" i="22"/>
  <c r="I31" i="22"/>
  <c r="G31" i="22"/>
  <c r="E31" i="22"/>
  <c r="AG30" i="22"/>
  <c r="AE30" i="22"/>
  <c r="AC30" i="22"/>
  <c r="AA30" i="22"/>
  <c r="Y30" i="22"/>
  <c r="W30" i="22"/>
  <c r="U30" i="22"/>
  <c r="S30" i="22"/>
  <c r="Q30" i="22"/>
  <c r="O30" i="22"/>
  <c r="M30" i="22"/>
  <c r="K30" i="22"/>
  <c r="I30" i="22"/>
  <c r="G30" i="22"/>
  <c r="E30" i="22"/>
  <c r="AG29" i="22"/>
  <c r="AE29" i="22"/>
  <c r="AC29" i="22"/>
  <c r="AA29" i="22"/>
  <c r="Y29" i="22"/>
  <c r="W29" i="22"/>
  <c r="U29" i="22"/>
  <c r="S29" i="22"/>
  <c r="Q29" i="22"/>
  <c r="O29" i="22"/>
  <c r="M29" i="22"/>
  <c r="K29" i="22"/>
  <c r="I29" i="22"/>
  <c r="G29" i="22"/>
  <c r="E29" i="22"/>
  <c r="AG28" i="22"/>
  <c r="AE28" i="22"/>
  <c r="AC28" i="22"/>
  <c r="AA28" i="22"/>
  <c r="Y28" i="22"/>
  <c r="W28" i="22"/>
  <c r="U28" i="22"/>
  <c r="S28" i="22"/>
  <c r="Q28" i="22"/>
  <c r="O28" i="22"/>
  <c r="M28" i="22"/>
  <c r="K28" i="22"/>
  <c r="I28" i="22"/>
  <c r="G28" i="22"/>
  <c r="E28" i="22"/>
  <c r="AG27" i="22"/>
  <c r="AE27" i="22"/>
  <c r="AC27" i="22"/>
  <c r="AA27" i="22"/>
  <c r="Y27" i="22"/>
  <c r="W27" i="22"/>
  <c r="U27" i="22"/>
  <c r="S27" i="22"/>
  <c r="Q27" i="22"/>
  <c r="O27" i="22"/>
  <c r="M27" i="22"/>
  <c r="K27" i="22"/>
  <c r="I27" i="22"/>
  <c r="G27" i="22"/>
  <c r="E27" i="22"/>
  <c r="AG26" i="22"/>
  <c r="AE26" i="22"/>
  <c r="AC26" i="22"/>
  <c r="AA26" i="22"/>
  <c r="Y26" i="22"/>
  <c r="W26" i="22"/>
  <c r="U26" i="22"/>
  <c r="S26" i="22"/>
  <c r="Q26" i="22"/>
  <c r="O26" i="22"/>
  <c r="M26" i="22"/>
  <c r="K26" i="22"/>
  <c r="I26" i="22"/>
  <c r="G26" i="22"/>
  <c r="E26" i="22"/>
  <c r="AG25" i="22"/>
  <c r="AE25" i="22"/>
  <c r="AC25" i="22"/>
  <c r="AA25" i="22"/>
  <c r="Y25" i="22"/>
  <c r="W25" i="22"/>
  <c r="U25" i="22"/>
  <c r="S25" i="22"/>
  <c r="Q25" i="22"/>
  <c r="O25" i="22"/>
  <c r="M25" i="22"/>
  <c r="K25" i="22"/>
  <c r="I25" i="22"/>
  <c r="G25" i="22"/>
  <c r="E25" i="22"/>
  <c r="AG24" i="22"/>
  <c r="AE24" i="22"/>
  <c r="AC24" i="22"/>
  <c r="AA24" i="22"/>
  <c r="Y24" i="22"/>
  <c r="W24" i="22"/>
  <c r="U24" i="22"/>
  <c r="S24" i="22"/>
  <c r="Q24" i="22"/>
  <c r="O24" i="22"/>
  <c r="M24" i="22"/>
  <c r="K24" i="22"/>
  <c r="I24" i="22"/>
  <c r="G24" i="22"/>
  <c r="E24" i="22"/>
  <c r="AG23" i="22"/>
  <c r="AE23" i="22"/>
  <c r="AC23" i="22"/>
  <c r="AA23" i="22"/>
  <c r="Y23" i="22"/>
  <c r="W23" i="22"/>
  <c r="U23" i="22"/>
  <c r="S23" i="22"/>
  <c r="Q23" i="22"/>
  <c r="O23" i="22"/>
  <c r="M23" i="22"/>
  <c r="K23" i="22"/>
  <c r="I23" i="22"/>
  <c r="G23" i="22"/>
  <c r="E23" i="22"/>
  <c r="AG22" i="22"/>
  <c r="AE22" i="22"/>
  <c r="AC22" i="22"/>
  <c r="AA22" i="22"/>
  <c r="Y22" i="22"/>
  <c r="W22" i="22"/>
  <c r="U22" i="22"/>
  <c r="S22" i="22"/>
  <c r="Q22" i="22"/>
  <c r="O22" i="22"/>
  <c r="M22" i="22"/>
  <c r="K22" i="22"/>
  <c r="I22" i="22"/>
  <c r="G22" i="22"/>
  <c r="E22" i="22"/>
  <c r="AG21" i="22"/>
  <c r="AE21" i="22"/>
  <c r="AC21" i="22"/>
  <c r="AA21" i="22"/>
  <c r="Y21" i="22"/>
  <c r="W21" i="22"/>
  <c r="U21" i="22"/>
  <c r="S21" i="22"/>
  <c r="Q21" i="22"/>
  <c r="O21" i="22"/>
  <c r="M21" i="22"/>
  <c r="K21" i="22"/>
  <c r="I21" i="22"/>
  <c r="G21" i="22"/>
  <c r="E21" i="22"/>
  <c r="AG20" i="22"/>
  <c r="AE20" i="22"/>
  <c r="AC20" i="22"/>
  <c r="AA20" i="22"/>
  <c r="Y20" i="22"/>
  <c r="W20" i="22"/>
  <c r="U20" i="22"/>
  <c r="S20" i="22"/>
  <c r="Q20" i="22"/>
  <c r="O20" i="22"/>
  <c r="M20" i="22"/>
  <c r="K20" i="22"/>
  <c r="I20" i="22"/>
  <c r="G20" i="22"/>
  <c r="E20" i="22"/>
  <c r="AG19" i="22"/>
  <c r="AE19" i="22"/>
  <c r="AC19" i="22"/>
  <c r="AA19" i="22"/>
  <c r="Y19" i="22"/>
  <c r="W19" i="22"/>
  <c r="U19" i="22"/>
  <c r="S19" i="22"/>
  <c r="Q19" i="22"/>
  <c r="O19" i="22"/>
  <c r="M19" i="22"/>
  <c r="K19" i="22"/>
  <c r="I19" i="22"/>
  <c r="G19" i="22"/>
  <c r="E19" i="22"/>
  <c r="AG18" i="22"/>
  <c r="AE18" i="22"/>
  <c r="AC18" i="22"/>
  <c r="AA18" i="22"/>
  <c r="Y18" i="22"/>
  <c r="W18" i="22"/>
  <c r="U18" i="22"/>
  <c r="S18" i="22"/>
  <c r="Q18" i="22"/>
  <c r="O18" i="22"/>
  <c r="M18" i="22"/>
  <c r="K18" i="22"/>
  <c r="I18" i="22"/>
  <c r="G18" i="22"/>
  <c r="E18" i="22"/>
  <c r="AG17" i="22"/>
  <c r="AE17" i="22"/>
  <c r="AC17" i="22"/>
  <c r="AA17" i="22"/>
  <c r="Y17" i="22"/>
  <c r="W17" i="22"/>
  <c r="U17" i="22"/>
  <c r="S17" i="22"/>
  <c r="Q17" i="22"/>
  <c r="O17" i="22"/>
  <c r="M17" i="22"/>
  <c r="K17" i="22"/>
  <c r="I17" i="22"/>
  <c r="G17" i="22"/>
  <c r="E17" i="22"/>
  <c r="AG16" i="22"/>
  <c r="AE16" i="22"/>
  <c r="AC16" i="22"/>
  <c r="AA16" i="22"/>
  <c r="Y16" i="22"/>
  <c r="W16" i="22"/>
  <c r="U16" i="22"/>
  <c r="S16" i="22"/>
  <c r="Q16" i="22"/>
  <c r="O16" i="22"/>
  <c r="M16" i="22"/>
  <c r="K16" i="22"/>
  <c r="I16" i="22"/>
  <c r="G16" i="22"/>
  <c r="E16" i="22"/>
  <c r="AG15" i="22"/>
  <c r="AE15" i="22"/>
  <c r="AC15" i="22"/>
  <c r="AA15" i="22"/>
  <c r="Y15" i="22"/>
  <c r="W15" i="22"/>
  <c r="U15" i="22"/>
  <c r="S15" i="22"/>
  <c r="Q15" i="22"/>
  <c r="O15" i="22"/>
  <c r="M15" i="22"/>
  <c r="K15" i="22"/>
  <c r="I15" i="22"/>
  <c r="G15" i="22"/>
  <c r="E15" i="22"/>
  <c r="AG14" i="22"/>
  <c r="AE14" i="22"/>
  <c r="AC14" i="22"/>
  <c r="AA14" i="22"/>
  <c r="Y14" i="22"/>
  <c r="W14" i="22"/>
  <c r="U14" i="22"/>
  <c r="S14" i="22"/>
  <c r="Q14" i="22"/>
  <c r="O14" i="22"/>
  <c r="M14" i="22"/>
  <c r="K14" i="22"/>
  <c r="I14" i="22"/>
  <c r="G14" i="22"/>
  <c r="E14" i="22"/>
  <c r="AG13" i="22"/>
  <c r="AE13" i="22"/>
  <c r="AC13" i="22"/>
  <c r="AA13" i="22"/>
  <c r="Y13" i="22"/>
  <c r="W13" i="22"/>
  <c r="U13" i="22"/>
  <c r="S13" i="22"/>
  <c r="Q13" i="22"/>
  <c r="O13" i="22"/>
  <c r="M13" i="22"/>
  <c r="K13" i="22"/>
  <c r="I13" i="22"/>
  <c r="G13" i="22"/>
  <c r="E13" i="22"/>
  <c r="AG12" i="22"/>
  <c r="AE12" i="22"/>
  <c r="AC12" i="22"/>
  <c r="AA12" i="22"/>
  <c r="Y12" i="22"/>
  <c r="W12" i="22"/>
  <c r="U12" i="22"/>
  <c r="S12" i="22"/>
  <c r="Q12" i="22"/>
  <c r="O12" i="22"/>
  <c r="M12" i="22"/>
  <c r="K12" i="22"/>
  <c r="I12" i="22"/>
  <c r="G12" i="22"/>
  <c r="E12" i="22"/>
  <c r="AG11" i="22"/>
  <c r="AE11" i="22"/>
  <c r="AC11" i="22"/>
  <c r="AA11" i="22"/>
  <c r="Y11" i="22"/>
  <c r="W11" i="22"/>
  <c r="U11" i="22"/>
  <c r="S11" i="22"/>
  <c r="Q11" i="22"/>
  <c r="O11" i="22"/>
  <c r="M11" i="22"/>
  <c r="K11" i="22"/>
  <c r="I11" i="22"/>
  <c r="G11" i="22"/>
  <c r="E11" i="22"/>
  <c r="AG10" i="22"/>
  <c r="AE10" i="22"/>
  <c r="AC10" i="22"/>
  <c r="AA10" i="22"/>
  <c r="Y10" i="22"/>
  <c r="W10" i="22"/>
  <c r="U10" i="22"/>
  <c r="S10" i="22"/>
  <c r="Q10" i="22"/>
  <c r="O10" i="22"/>
  <c r="M10" i="22"/>
  <c r="K10" i="22"/>
  <c r="I10" i="22"/>
  <c r="G10" i="22"/>
  <c r="E10" i="22"/>
  <c r="AG9" i="22"/>
  <c r="AE9" i="22"/>
  <c r="AC9" i="22"/>
  <c r="AA9" i="22"/>
  <c r="Y9" i="22"/>
  <c r="W9" i="22"/>
  <c r="U9" i="22"/>
  <c r="S9" i="22"/>
  <c r="Q9" i="22"/>
  <c r="O9" i="22"/>
  <c r="M9" i="22"/>
  <c r="K9" i="22"/>
  <c r="I9" i="22"/>
  <c r="G9" i="22"/>
  <c r="E9" i="22"/>
  <c r="AG8" i="22"/>
  <c r="AE8" i="22"/>
  <c r="AC8" i="22"/>
  <c r="AA8" i="22"/>
  <c r="Y8" i="22"/>
  <c r="W8" i="22"/>
  <c r="U8" i="22"/>
  <c r="S8" i="22"/>
  <c r="Q8" i="22"/>
  <c r="O8" i="22"/>
  <c r="M8" i="22"/>
  <c r="K8" i="22"/>
  <c r="I8" i="22"/>
  <c r="G8" i="22"/>
  <c r="E8" i="22"/>
  <c r="AG7" i="22"/>
  <c r="AE7" i="22"/>
  <c r="AC7" i="22"/>
  <c r="AA7" i="22"/>
  <c r="Y7" i="22"/>
  <c r="W7" i="22"/>
  <c r="U7" i="22"/>
  <c r="S7" i="22"/>
  <c r="Q7" i="22"/>
  <c r="O7" i="22"/>
  <c r="M7" i="22"/>
  <c r="K7" i="22"/>
  <c r="I7" i="22"/>
  <c r="G7" i="22"/>
  <c r="E7" i="22"/>
  <c r="AG6" i="22"/>
  <c r="AE6" i="22"/>
  <c r="AC6" i="22"/>
  <c r="AA6" i="22"/>
  <c r="Y6" i="22"/>
  <c r="W6" i="22"/>
  <c r="U6" i="22"/>
  <c r="S6" i="22"/>
  <c r="Q6" i="22"/>
  <c r="O6" i="22"/>
  <c r="M6" i="22"/>
  <c r="K6" i="22"/>
  <c r="I6" i="22"/>
  <c r="G6" i="22"/>
  <c r="E6" i="22"/>
  <c r="AG5" i="22"/>
  <c r="AE5" i="22"/>
  <c r="AC5" i="22"/>
  <c r="AA5" i="22"/>
  <c r="Y5" i="22"/>
  <c r="W5" i="22"/>
  <c r="U5" i="22"/>
  <c r="S5" i="22"/>
  <c r="Q5" i="22"/>
  <c r="O5" i="22"/>
  <c r="M5" i="22"/>
  <c r="K5" i="22"/>
  <c r="I5" i="22"/>
  <c r="G5" i="22"/>
  <c r="E5" i="22"/>
  <c r="AG4" i="22"/>
  <c r="AE4" i="22"/>
  <c r="AC4" i="22"/>
  <c r="AA4" i="22"/>
  <c r="Y4" i="22"/>
  <c r="W4" i="22"/>
  <c r="U4" i="22"/>
  <c r="S4" i="22"/>
  <c r="Q4" i="22"/>
  <c r="O4" i="22"/>
  <c r="M4" i="22"/>
  <c r="K4" i="22"/>
  <c r="I4" i="22"/>
  <c r="G4" i="22"/>
  <c r="E4" i="22"/>
  <c r="AG3" i="22"/>
  <c r="AE3" i="22"/>
  <c r="AC3" i="22"/>
  <c r="AA3" i="22"/>
  <c r="Y3" i="22"/>
  <c r="W3" i="22"/>
  <c r="U3" i="22"/>
  <c r="S3" i="22"/>
  <c r="Q3" i="22"/>
  <c r="O3" i="22"/>
  <c r="M3" i="22"/>
  <c r="K3" i="22"/>
  <c r="I3" i="22"/>
  <c r="G3" i="22"/>
  <c r="E3" i="22"/>
  <c r="G15" i="5"/>
  <c r="E12" i="5"/>
  <c r="E11" i="5"/>
  <c r="E10" i="5"/>
  <c r="G6" i="5"/>
  <c r="G5" i="5"/>
  <c r="G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8" authorId="0" shapeId="0" xr:uid="{5849C2FF-CB80-47AB-948B-34C943EE3E89}">
      <text>
        <r>
          <rPr>
            <sz val="1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Z-212-13kg + Z-213-96kg</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999885-4236-48CA-AD32-95121C26619E}" name="Query - Alarm (3)" description="Connection to the 'Alarm (3)' query in the workbook." type="100" refreshedVersion="8" minRefreshableVersion="5">
    <extLst>
      <ext xmlns:x15="http://schemas.microsoft.com/office/spreadsheetml/2010/11/main" uri="{DE250136-89BD-433C-8126-D09CA5730AF9}">
        <x15:connection id="eede2866-474a-4268-8646-90512a1b7a8f">
          <x15:oledbPr connection="Provider=Microsoft.Mashup.OleDb.1;Data Source=$Workbook$;Location=&quot;Alarm (3)&quot;;Extended Properties=&quot;&quot;">
            <x15:dbTables>
              <x15:dbTable name="Alarm (3)"/>
            </x15:dbTables>
          </x15:oledbPr>
        </x15:connection>
      </ext>
    </extLst>
  </connection>
  <connection id="2" xr16:uid="{3DBEFFCA-5938-4F33-84F6-2B8024350425}" keepAlive="1" name="Query - Alarm Statistics" description="Connection to the 'Alarm Statistics' query in the workbook." type="5" refreshedVersion="8" background="1" saveData="1">
    <dbPr connection="Provider=Microsoft.Mashup.OleDb.1;Data Source=$Workbook$;Location=&quot;Alarm Statistics&quot;;Extended Properties=&quot;&quot;" command="SELECT * FROM [Alarm Statistics]"/>
  </connection>
  <connection id="3" xr16:uid="{8A80D9F9-AE49-40C7-93B0-800108234DBF}" keepAlive="1" name="Query - Onstream Performance" description="Connection to the 'Onstream Performance' query in the workbook." type="5" refreshedVersion="8" background="1" saveData="1">
    <dbPr connection="Provider=Microsoft.Mashup.OleDb.1;Data Source=$Workbook$;Location=&quot;Onstream Performance&quot;;Extended Properties=&quot;&quot;" command="SELECT * FROM [Onstream Performance]"/>
  </connection>
  <connection id="4" xr16:uid="{204B0E27-41BA-4C05-8FFA-54A1B14982EF}" keepAlive="1" name="Query - Production" description="Connection to the 'Production' query in the workbook." type="5" refreshedVersion="8" background="1" saveData="1">
    <dbPr connection="Provider=Microsoft.Mashup.OleDb.1;Data Source=$Workbook$;Location=Production;Extended Properties=&quot;&quot;" command="SELECT * FROM [Production]"/>
  </connection>
  <connection id="5" xr16:uid="{08062027-5195-4255-9D63-E6EE6AF27924}" name="Query - Production (3)" description="Connection to the 'Production (3)' query in the workbook." type="100" refreshedVersion="8" minRefreshableVersion="5">
    <extLst>
      <ext xmlns:x15="http://schemas.microsoft.com/office/spreadsheetml/2010/11/main" uri="{DE250136-89BD-433C-8126-D09CA5730AF9}">
        <x15:connection id="66186d6e-e8bc-4457-bcd7-169e990ed88c">
          <x15:oledbPr connection="Provider=Microsoft.Mashup.OleDb.1;Data Source=$Workbook$;Location=&quot;Production (3)&quot;;Extended Properties=&quot;&quot;">
            <x15:dbTables>
              <x15:dbTable name="Production (3)"/>
            </x15:dbTables>
          </x15:oledbPr>
        </x15:connection>
      </ext>
    </extLst>
  </connection>
  <connection id="6" xr16:uid="{A978A40A-A126-49C3-A1AA-4696FB756192}" name="Query - specific (3)" description="Connection to the 'specific (3)' query in the workbook." type="100" refreshedVersion="8" minRefreshableVersion="5">
    <extLst>
      <ext xmlns:x15="http://schemas.microsoft.com/office/spreadsheetml/2010/11/main" uri="{DE250136-89BD-433C-8126-D09CA5730AF9}">
        <x15:connection id="0e83ed36-5c1d-4870-8b5f-be8bd29a29c4"/>
      </ext>
    </extLst>
  </connection>
  <connection id="7" xr16:uid="{3DF3D2CB-9D54-49EC-9C76-4FCC8A36F2BB}" keepAlive="1" name="Query - Specific Consumption" description="Connection to the 'Specific Consumption' query in the workbook." type="5" refreshedVersion="8" background="1" saveData="1">
    <dbPr connection="Provider=Microsoft.Mashup.OleDb.1;Data Source=$Workbook$;Location=&quot;Specific Consumption&quot;;Extended Properties=&quot;&quot;" command="SELECT * FROM [Specific Consumption]"/>
  </connection>
  <connection id="8" xr16:uid="{12B0C568-2AF8-4B56-8D5E-BF5243BDBBE2}" name="Query - Utility (3)" description="Connection to the 'Utility (3)' query in the workbook." type="100" refreshedVersion="8" minRefreshableVersion="5">
    <extLst>
      <ext xmlns:x15="http://schemas.microsoft.com/office/spreadsheetml/2010/11/main" uri="{DE250136-89BD-433C-8126-D09CA5730AF9}">
        <x15:connection id="884c93c9-154c-481c-9305-fb1af52b8d67"/>
      </ext>
    </extLst>
  </connection>
  <connection id="9" xr16:uid="{7562E636-11E4-485C-8A1D-F27CA63C8868}" keepAlive="1" name="Query - Utility Consumption" description="Connection to the 'Utility Consumption' query in the workbook." type="5" refreshedVersion="8" background="1" saveData="1">
    <dbPr connection="Provider=Microsoft.Mashup.OleDb.1;Data Source=$Workbook$;Location=&quot;Utility Consumption&quot;;Extended Properties=&quot;&quot;" command="SELECT * FROM [Utility Consumption]"/>
  </connection>
  <connection id="10" xr16:uid="{84B64230-DFF5-45CB-B653-8E6BA817535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ECC9FC25-276A-4983-B950-110DBBC5495A}" name="WorksheetConnection_freelancer.xlsx!planet" type="102" refreshedVersion="8" minRefreshableVersion="5">
    <extLst>
      <ext xmlns:x15="http://schemas.microsoft.com/office/spreadsheetml/2010/11/main" uri="{DE250136-89BD-433C-8126-D09CA5730AF9}">
        <x15:connection id="planet">
          <x15:rangePr sourceName="_xlcn.WorksheetConnection_freelancer.xlsxplanet"/>
        </x15:connection>
      </ext>
    </extLst>
  </connection>
  <connection id="12" xr16:uid="{376156D6-F78C-4F85-8D44-EA0E596B39DC}" name="WorksheetConnection_freelancer.xlsx!Table7" type="102" refreshedVersion="8" minRefreshableVersion="5">
    <extLst>
      <ext xmlns:x15="http://schemas.microsoft.com/office/spreadsheetml/2010/11/main" uri="{DE250136-89BD-433C-8126-D09CA5730AF9}">
        <x15:connection id="Table7">
          <x15:rangePr sourceName="_xlcn.WorksheetConnection_freelancer.xlsxTable7"/>
        </x15:connection>
      </ext>
    </extLst>
  </connection>
  <connection id="13" xr16:uid="{3E579B06-FD56-48D0-B381-739DE8E0EE0F}" name="WorksheetConnection_freelancer.xlsx!utility" type="102" refreshedVersion="8" minRefreshableVersion="5">
    <extLst>
      <ext xmlns:x15="http://schemas.microsoft.com/office/spreadsheetml/2010/11/main" uri="{DE250136-89BD-433C-8126-D09CA5730AF9}">
        <x15:connection id="utility">
          <x15:rangePr sourceName="_xlcn.WorksheetConnection_freelancer.xlsxutility"/>
        </x15:connection>
      </ext>
    </extLst>
  </connection>
</connections>
</file>

<file path=xl/sharedStrings.xml><?xml version="1.0" encoding="utf-8"?>
<sst xmlns="http://schemas.openxmlformats.org/spreadsheetml/2006/main" count="547" uniqueCount="161">
  <si>
    <t>Plant</t>
  </si>
  <si>
    <t>LLDPE</t>
  </si>
  <si>
    <t>PP</t>
  </si>
  <si>
    <t>HDPE</t>
  </si>
  <si>
    <t>Cooling Water</t>
  </si>
  <si>
    <t>MP Steam</t>
  </si>
  <si>
    <t>LP Steam</t>
  </si>
  <si>
    <t>DM Water</t>
  </si>
  <si>
    <t>Plant Air</t>
  </si>
  <si>
    <t>Instrument air</t>
  </si>
  <si>
    <t>Nitrogen</t>
  </si>
  <si>
    <t>Power</t>
  </si>
  <si>
    <t>Condensate Return</t>
  </si>
  <si>
    <t>Plant Water</t>
  </si>
  <si>
    <t>HP Steam</t>
  </si>
  <si>
    <t>Catalyst</t>
  </si>
  <si>
    <t>Onstream Target</t>
  </si>
  <si>
    <t xml:space="preserve">Production(PPM) Target(MT) </t>
  </si>
  <si>
    <t>Achieved Target (MT)</t>
  </si>
  <si>
    <t>Percentage Achived</t>
  </si>
  <si>
    <t>Quality Achievement</t>
  </si>
  <si>
    <t>Prime Production(%)</t>
  </si>
  <si>
    <t>Non-Prime (%)</t>
  </si>
  <si>
    <t>OFF Grade(%)</t>
  </si>
  <si>
    <t>PSV Calibration Due(2020-2025)</t>
  </si>
  <si>
    <t>Total Due In Polymer</t>
  </si>
  <si>
    <t>Calibration Status</t>
  </si>
  <si>
    <t>Numbers</t>
  </si>
  <si>
    <t>Due</t>
  </si>
  <si>
    <t>Permit Distribution Across Plants</t>
  </si>
  <si>
    <t>Total Permits Issued</t>
  </si>
  <si>
    <t>Type- 1 Permit</t>
  </si>
  <si>
    <t>Type-2 Permit</t>
  </si>
  <si>
    <t>Pending Closure</t>
  </si>
  <si>
    <t>Date</t>
  </si>
  <si>
    <t>planet</t>
  </si>
  <si>
    <t>utility name</t>
  </si>
  <si>
    <t>Plant water</t>
  </si>
  <si>
    <t>10/1/2025</t>
  </si>
  <si>
    <t>10/10/2025</t>
  </si>
  <si>
    <t>10/11/2025</t>
  </si>
  <si>
    <t>10/12/2025</t>
  </si>
  <si>
    <t>10/13/2025</t>
  </si>
  <si>
    <t>10/14/2025</t>
  </si>
  <si>
    <t>10/15/2025</t>
  </si>
  <si>
    <t>10/2/2025</t>
  </si>
  <si>
    <t>10/3/2025</t>
  </si>
  <si>
    <t>10/4/2025</t>
  </si>
  <si>
    <t>10/5/2025</t>
  </si>
  <si>
    <t>10/6/2025</t>
  </si>
  <si>
    <t>10/7/2025</t>
  </si>
  <si>
    <t>10/8/2025</t>
  </si>
  <si>
    <t>10/9/2025</t>
  </si>
  <si>
    <t xml:space="preserve">KPI </t>
  </si>
  <si>
    <t>Threshold Value(No.)</t>
  </si>
  <si>
    <t>Average Alarm Rate /Hour</t>
  </si>
  <si>
    <t>Action / Alarm</t>
  </si>
  <si>
    <t>Peak Alarm Rate (Hour)</t>
  </si>
  <si>
    <t>Total Alarms</t>
  </si>
  <si>
    <t xml:space="preserve">Fleeting Count </t>
  </si>
  <si>
    <t>Total Actions</t>
  </si>
  <si>
    <t xml:space="preserve">Standing Alarms </t>
  </si>
  <si>
    <t>Suppressed Alarms</t>
  </si>
  <si>
    <t xml:space="preserve">Chattering Count </t>
  </si>
  <si>
    <t>Total Events</t>
  </si>
  <si>
    <t>Supressed Alarms</t>
  </si>
  <si>
    <t>Utility</t>
  </si>
  <si>
    <t>Units</t>
  </si>
  <si>
    <t>Km3</t>
  </si>
  <si>
    <t>MT</t>
  </si>
  <si>
    <t>M3</t>
  </si>
  <si>
    <t>KNm3</t>
  </si>
  <si>
    <t>kNm3</t>
  </si>
  <si>
    <t>MWh</t>
  </si>
  <si>
    <t>Mwh</t>
  </si>
  <si>
    <t>m3</t>
  </si>
  <si>
    <t>Plant air</t>
  </si>
  <si>
    <t>Instrument Air</t>
  </si>
  <si>
    <t xml:space="preserve">Plant Water </t>
  </si>
  <si>
    <t>Metric</t>
  </si>
  <si>
    <t>Ethylene to POLYMERIZATION</t>
  </si>
  <si>
    <t>Propylene to LLDPE polymerization</t>
  </si>
  <si>
    <t>Hydrogen to LLDPE</t>
  </si>
  <si>
    <t>Butene-1</t>
  </si>
  <si>
    <t>Propane from NCU</t>
  </si>
  <si>
    <t>Heavy ends to IOP</t>
  </si>
  <si>
    <t xml:space="preserve">Total Catalyst Consumption(Z-212+Z-213) </t>
  </si>
  <si>
    <t>KG</t>
  </si>
  <si>
    <t>OFF GAS to NCU</t>
  </si>
  <si>
    <t>Oligomer</t>
  </si>
  <si>
    <t>LLDPE Powder</t>
  </si>
  <si>
    <t>Plant Load</t>
  </si>
  <si>
    <t>T/Hr</t>
  </si>
  <si>
    <t>Extruder Load</t>
  </si>
  <si>
    <t>Extruder Downtime</t>
  </si>
  <si>
    <t>Hour</t>
  </si>
  <si>
    <t>Poly Section Downtime</t>
  </si>
  <si>
    <t>LLDPE Pellet</t>
  </si>
  <si>
    <t>Propylene from LLDPE</t>
  </si>
  <si>
    <t>Hydrogen from LLDPE</t>
  </si>
  <si>
    <t>Deinventory</t>
  </si>
  <si>
    <t>PURGE GAS to NCU</t>
  </si>
  <si>
    <t>Net Consumption</t>
  </si>
  <si>
    <t>Total Catalyst Consumption</t>
  </si>
  <si>
    <t>Kg</t>
  </si>
  <si>
    <t>PP Powder</t>
  </si>
  <si>
    <t>PP Pellet</t>
  </si>
  <si>
    <t>Hydrogen from NCU</t>
  </si>
  <si>
    <t>Propylene</t>
  </si>
  <si>
    <t>Waste Hexane</t>
  </si>
  <si>
    <t>Total Catalyst ( RZ+PZ)</t>
  </si>
  <si>
    <t>HDPE Powder</t>
  </si>
  <si>
    <t>Train -1 plant Load</t>
  </si>
  <si>
    <t>Extruder Load (Tr. N0.-1)</t>
  </si>
  <si>
    <t>Train-2 Plant Load</t>
  </si>
  <si>
    <t>Extruder Load(Tr. No.-2)</t>
  </si>
  <si>
    <t>Extruder Downtime(Tr.-1 +Tr.-2)</t>
  </si>
  <si>
    <t>Poly Section Downtime (Tr.-1 +Tr.-2 )</t>
  </si>
  <si>
    <t>HDPE Pellet</t>
  </si>
  <si>
    <t>Utility Name</t>
  </si>
  <si>
    <t>Specific Consumption Unit</t>
  </si>
  <si>
    <t>Production(MT)</t>
  </si>
  <si>
    <t>Specific Consumption</t>
  </si>
  <si>
    <t>(Km3)/MT</t>
  </si>
  <si>
    <t>(MT)/MT</t>
  </si>
  <si>
    <t>(M3)/MT</t>
  </si>
  <si>
    <t>(KNm3)/MT</t>
  </si>
  <si>
    <t>(kNm3)/MT</t>
  </si>
  <si>
    <t>(MWh)/MT</t>
  </si>
  <si>
    <t>Kg/MT</t>
  </si>
  <si>
    <t>(Mwh)/MT</t>
  </si>
  <si>
    <t>10/1/2025,Production(MT)</t>
  </si>
  <si>
    <t>10/2/2025,Production(MT)</t>
  </si>
  <si>
    <t>10/3/2025,Production(MT)</t>
  </si>
  <si>
    <t>10/4/2025,Production(MT)</t>
  </si>
  <si>
    <t>10/5/2025,Production(MT)</t>
  </si>
  <si>
    <t>10/6/2025,Production(MT)</t>
  </si>
  <si>
    <t>10/7/2025,Production(MT)</t>
  </si>
  <si>
    <t>10/8/2025,Production(MT)</t>
  </si>
  <si>
    <t>10/9/2025,Production(MT)</t>
  </si>
  <si>
    <t>10/10/2025,Production(MT)</t>
  </si>
  <si>
    <t>10/11/2025,Production(MT)</t>
  </si>
  <si>
    <t>10/12/2025,Production(MT)</t>
  </si>
  <si>
    <t>10/13/2025,Production(MT)</t>
  </si>
  <si>
    <t>10/14/2025,Production(MT)</t>
  </si>
  <si>
    <t>10/15/2025,Production(MT)</t>
  </si>
  <si>
    <t>10/15/2025,Specific Consumption</t>
  </si>
  <si>
    <t>10/14/2025,Specific Consumption</t>
  </si>
  <si>
    <t>10/13/2025,Specific Consumption</t>
  </si>
  <si>
    <t>10/12/2025,Specific Consumption</t>
  </si>
  <si>
    <t>10/11/2025,Specific Consumption</t>
  </si>
  <si>
    <t>10/10/2025,Specific Consumption</t>
  </si>
  <si>
    <t>10/9/2025,Specific Consumption</t>
  </si>
  <si>
    <t>10/8/2025,Specific Consumption</t>
  </si>
  <si>
    <t>10/7/2025,Specific Consumption</t>
  </si>
  <si>
    <t>10/6/2025,Specific Consumption</t>
  </si>
  <si>
    <t>10/5/2025,Specific Consumption</t>
  </si>
  <si>
    <t>10/4/2025,Specific Consumption</t>
  </si>
  <si>
    <t>10/3/2025,Specific Consumption</t>
  </si>
  <si>
    <t>10/2/2025,Specific Consumption</t>
  </si>
  <si>
    <t>10/1/2025,Specific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</si>
</sst>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00"/>
    <numFmt numFmtId="166" formatCode="0.0000"/>
  </numFmts>
  <fonts count="18">
    <font>
      <sz val="11"/>
      <name val="Aptos Narrow"/>
      <scheme val="minor"/>
    </font>
    <font>
      <sz val="11"/>
      <name val="Aptos narrow"/>
    </font>
    <font>
      <sz val="11"/>
      <name val="Aptos Narrow"/>
    </font>
    <font>
      <b/>
      <sz val="14"/>
      <name val="Aptos narrow"/>
    </font>
    <font>
      <b/>
      <sz val="11"/>
      <name val="Aptos narrow"/>
    </font>
    <font>
      <sz val="11"/>
      <name val="Aptos Narrow"/>
      <family val="2"/>
      <scheme val="minor"/>
    </font>
    <font>
      <b/>
      <sz val="11"/>
      <name val="Calibri"/>
      <family val="2"/>
    </font>
    <font>
      <sz val="11"/>
      <name val="Aptos Narrow"/>
      <family val="2"/>
    </font>
    <font>
      <sz val="11"/>
      <color rgb="FF000000"/>
      <name val="Aptos Narrow"/>
      <family val="2"/>
    </font>
    <font>
      <b/>
      <sz val="11"/>
      <name val="Aptos Narrow"/>
      <family val="2"/>
    </font>
    <font>
      <b/>
      <sz val="10"/>
      <name val="Aptos Narrow"/>
      <family val="2"/>
    </font>
    <font>
      <b/>
      <sz val="10"/>
      <color rgb="FF404040"/>
      <name val="Arial"/>
      <family val="2"/>
    </font>
    <font>
      <sz val="10"/>
      <name val="Arial"/>
      <family val="2"/>
    </font>
    <font>
      <sz val="10"/>
      <color rgb="FF404040"/>
      <name val="Arial"/>
      <family val="2"/>
    </font>
    <font>
      <sz val="9"/>
      <name val="Arial"/>
      <family val="2"/>
    </font>
    <font>
      <sz val="9"/>
      <color rgb="FF404040"/>
      <name val="Arial"/>
      <family val="2"/>
    </font>
    <font>
      <sz val="11"/>
      <name val="Arial"/>
      <family val="2"/>
    </font>
    <font>
      <sz val="11"/>
      <color rgb="FF000000"/>
      <name val="Arial"/>
      <family val="2"/>
    </font>
  </fonts>
  <fills count="8">
    <fill>
      <patternFill patternType="none"/>
    </fill>
    <fill>
      <patternFill patternType="gray125"/>
    </fill>
    <fill>
      <patternFill patternType="solid">
        <fgColor rgb="FFFFFF00"/>
        <bgColor rgb="FFFFFF00"/>
      </patternFill>
    </fill>
    <fill>
      <patternFill patternType="solid">
        <fgColor rgb="FFC1E4F5"/>
        <bgColor rgb="FFC1E4F5"/>
      </patternFill>
    </fill>
    <fill>
      <patternFill patternType="solid">
        <fgColor rgb="FFFAE2D5"/>
        <bgColor rgb="FFFAE2D5"/>
      </patternFill>
    </fill>
    <fill>
      <patternFill patternType="solid">
        <fgColor rgb="FFC1F0C8"/>
        <bgColor rgb="FFC1F0C8"/>
      </patternFill>
    </fill>
    <fill>
      <patternFill patternType="solid">
        <fgColor rgb="FFDBE9F7"/>
        <bgColor rgb="FFDBE9F7"/>
      </patternFill>
    </fill>
    <fill>
      <patternFill patternType="solid">
        <fgColor rgb="FFCAEDFB"/>
        <bgColor rgb="FFCAEDFB"/>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83">
    <xf numFmtId="0" fontId="0" fillId="0" borderId="0" xfId="0"/>
    <xf numFmtId="0" fontId="1" fillId="0" borderId="1" xfId="0" applyFont="1" applyBorder="1" applyAlignment="1">
      <alignment horizontal="center" vertical="center"/>
    </xf>
    <xf numFmtId="0" fontId="1" fillId="0" borderId="0" xfId="0" applyFont="1" applyAlignment="1">
      <alignment horizontal="center" vertical="center"/>
    </xf>
    <xf numFmtId="0" fontId="4" fillId="0" borderId="2"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1" xfId="0" applyFont="1" applyBorder="1" applyAlignment="1">
      <alignment horizontal="center" vertical="center" wrapText="1"/>
    </xf>
    <xf numFmtId="0" fontId="1" fillId="0" borderId="2" xfId="0" applyFont="1" applyBorder="1" applyAlignment="1">
      <alignment horizontal="center"/>
    </xf>
    <xf numFmtId="0" fontId="1" fillId="0" borderId="1" xfId="0" applyFont="1" applyBorder="1" applyAlignment="1">
      <alignment horizontal="center"/>
    </xf>
    <xf numFmtId="10" fontId="1" fillId="0" borderId="11" xfId="0" applyNumberFormat="1" applyFont="1" applyBorder="1" applyAlignment="1">
      <alignment horizontal="center"/>
    </xf>
    <xf numFmtId="0" fontId="1" fillId="0" borderId="12" xfId="0" applyFont="1" applyBorder="1"/>
    <xf numFmtId="0" fontId="1" fillId="0" borderId="5" xfId="0" applyFont="1" applyBorder="1"/>
    <xf numFmtId="0" fontId="1" fillId="0" borderId="13" xfId="0" applyFont="1" applyBorder="1"/>
    <xf numFmtId="2" fontId="1" fillId="0" borderId="1" xfId="0" applyNumberFormat="1" applyFont="1" applyBorder="1" applyAlignment="1">
      <alignment horizontal="center"/>
    </xf>
    <xf numFmtId="0" fontId="1" fillId="0" borderId="11" xfId="0" applyFont="1" applyBorder="1" applyAlignment="1">
      <alignment horizontal="center"/>
    </xf>
    <xf numFmtId="0" fontId="3" fillId="2" borderId="1" xfId="0" applyFont="1" applyFill="1" applyBorder="1" applyAlignment="1">
      <alignment vertical="center"/>
    </xf>
    <xf numFmtId="0" fontId="4" fillId="0" borderId="6" xfId="0" applyFont="1" applyBorder="1" applyAlignment="1">
      <alignment horizontal="center" vertical="center"/>
    </xf>
    <xf numFmtId="0" fontId="4" fillId="0" borderId="20" xfId="0" applyFont="1" applyBorder="1" applyAlignment="1">
      <alignment horizontal="center" vertical="center" wrapText="1"/>
    </xf>
    <xf numFmtId="0" fontId="4" fillId="0" borderId="20" xfId="0" applyFont="1" applyBorder="1" applyAlignment="1">
      <alignment horizontal="center" vertical="center"/>
    </xf>
    <xf numFmtId="1" fontId="1" fillId="0" borderId="1" xfId="0" applyNumberFormat="1" applyFont="1" applyBorder="1" applyAlignment="1">
      <alignment horizontal="center"/>
    </xf>
    <xf numFmtId="0" fontId="1" fillId="0" borderId="3" xfId="0" applyFont="1" applyBorder="1" applyAlignment="1">
      <alignment horizontal="center"/>
    </xf>
    <xf numFmtId="2" fontId="1" fillId="0" borderId="4" xfId="0" applyNumberFormat="1" applyFont="1" applyBorder="1" applyAlignment="1">
      <alignment horizontal="center"/>
    </xf>
    <xf numFmtId="0" fontId="1" fillId="0" borderId="4" xfId="0" applyFont="1" applyBorder="1" applyAlignment="1">
      <alignment horizontal="center"/>
    </xf>
    <xf numFmtId="0" fontId="0" fillId="0" borderId="0" xfId="0" applyAlignment="1">
      <alignment horizontal="left"/>
    </xf>
    <xf numFmtId="14" fontId="0" fillId="0" borderId="0" xfId="0" applyNumberFormat="1"/>
    <xf numFmtId="0" fontId="7" fillId="3" borderId="27" xfId="0" applyFont="1" applyFill="1" applyBorder="1" applyAlignment="1">
      <alignment horizontal="center" vertical="center"/>
    </xf>
    <xf numFmtId="0" fontId="7" fillId="3" borderId="28" xfId="0" applyFont="1" applyFill="1" applyBorder="1" applyAlignment="1">
      <alignment horizontal="left" vertical="center"/>
    </xf>
    <xf numFmtId="0" fontId="7" fillId="3" borderId="29"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1" xfId="0" applyFont="1" applyFill="1" applyBorder="1" applyAlignment="1">
      <alignment horizontal="left" vertical="center"/>
    </xf>
    <xf numFmtId="0" fontId="7" fillId="3" borderId="7" xfId="0" applyFont="1" applyFill="1" applyBorder="1" applyAlignment="1">
      <alignment horizontal="center" vertical="center"/>
    </xf>
    <xf numFmtId="2" fontId="7" fillId="3" borderId="1" xfId="0" applyNumberFormat="1" applyFont="1" applyFill="1" applyBorder="1" applyAlignment="1">
      <alignment horizontal="center" vertical="center"/>
    </xf>
    <xf numFmtId="2"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left" vertical="center"/>
    </xf>
    <xf numFmtId="0" fontId="7" fillId="3" borderId="30" xfId="0" applyFont="1" applyFill="1" applyBorder="1" applyAlignment="1">
      <alignment horizontal="center" vertical="center"/>
    </xf>
    <xf numFmtId="0" fontId="7" fillId="4" borderId="27" xfId="0" applyFont="1" applyFill="1" applyBorder="1" applyAlignment="1">
      <alignment horizontal="center" vertical="center"/>
    </xf>
    <xf numFmtId="0" fontId="7" fillId="4" borderId="28" xfId="0" applyFont="1" applyFill="1" applyBorder="1" applyAlignment="1">
      <alignment horizontal="left" vertical="center"/>
    </xf>
    <xf numFmtId="0" fontId="7" fillId="4" borderId="29" xfId="0" applyFont="1" applyFill="1" applyBorder="1" applyAlignment="1">
      <alignment horizontal="center" vertical="center"/>
    </xf>
    <xf numFmtId="2" fontId="7" fillId="4"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4" xfId="0" applyFont="1" applyFill="1" applyBorder="1" applyAlignment="1">
      <alignment horizontal="left" vertical="center"/>
    </xf>
    <xf numFmtId="0" fontId="7" fillId="4" borderId="30" xfId="0" applyFont="1" applyFill="1" applyBorder="1" applyAlignment="1">
      <alignment horizontal="center" vertical="center"/>
    </xf>
    <xf numFmtId="0" fontId="7" fillId="4" borderId="1" xfId="0" applyFont="1" applyFill="1" applyBorder="1" applyAlignment="1">
      <alignment horizontal="center"/>
    </xf>
    <xf numFmtId="0" fontId="7" fillId="4" borderId="5" xfId="0" applyFont="1" applyFill="1" applyBorder="1" applyAlignment="1">
      <alignment horizontal="center"/>
    </xf>
    <xf numFmtId="0" fontId="7" fillId="4" borderId="2" xfId="0" applyFont="1" applyFill="1" applyBorder="1" applyAlignment="1">
      <alignment horizontal="center" vertical="center"/>
    </xf>
    <xf numFmtId="0" fontId="7" fillId="4" borderId="1" xfId="0" applyFont="1" applyFill="1" applyBorder="1" applyAlignment="1">
      <alignment horizontal="left" vertical="center"/>
    </xf>
    <xf numFmtId="0" fontId="7" fillId="4" borderId="7" xfId="0" applyFont="1" applyFill="1" applyBorder="1" applyAlignment="1">
      <alignment horizontal="center" vertical="center"/>
    </xf>
    <xf numFmtId="164" fontId="7" fillId="4" borderId="1" xfId="0" applyNumberFormat="1" applyFont="1" applyFill="1" applyBorder="1" applyAlignment="1">
      <alignment horizontal="center" vertical="center"/>
    </xf>
    <xf numFmtId="0" fontId="7" fillId="5" borderId="27" xfId="0" applyFont="1" applyFill="1" applyBorder="1" applyAlignment="1">
      <alignment horizontal="center" vertical="center"/>
    </xf>
    <xf numFmtId="0" fontId="8" fillId="5" borderId="31" xfId="0" applyFont="1" applyFill="1" applyBorder="1" applyAlignment="1">
      <alignment horizontal="left" vertical="center" wrapText="1"/>
    </xf>
    <xf numFmtId="0" fontId="7" fillId="5" borderId="29"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8" fillId="5" borderId="32" xfId="0" applyFont="1" applyFill="1" applyBorder="1" applyAlignment="1">
      <alignment horizontal="left" vertical="center" wrapText="1"/>
    </xf>
    <xf numFmtId="0" fontId="7" fillId="5" borderId="7" xfId="0" applyFont="1" applyFill="1" applyBorder="1" applyAlignment="1">
      <alignment horizontal="center" vertical="center"/>
    </xf>
    <xf numFmtId="0" fontId="7" fillId="5" borderId="6" xfId="0" applyFont="1" applyFill="1" applyBorder="1" applyAlignment="1">
      <alignment horizontal="center" vertical="center"/>
    </xf>
    <xf numFmtId="0" fontId="8" fillId="5" borderId="33" xfId="0" applyFont="1" applyFill="1" applyBorder="1" applyAlignment="1">
      <alignment horizontal="left" vertical="center" wrapText="1"/>
    </xf>
    <xf numFmtId="0" fontId="7" fillId="5" borderId="34" xfId="0" applyFont="1" applyFill="1" applyBorder="1" applyAlignment="1">
      <alignment horizontal="center" vertical="center"/>
    </xf>
    <xf numFmtId="165" fontId="7" fillId="5" borderId="1" xfId="0" applyNumberFormat="1" applyFont="1" applyFill="1" applyBorder="1" applyAlignment="1">
      <alignment horizontal="center" vertical="center"/>
    </xf>
    <xf numFmtId="0" fontId="8" fillId="5" borderId="1" xfId="0" applyFont="1" applyFill="1" applyBorder="1" applyAlignment="1">
      <alignment horizontal="left" vertical="center" wrapText="1"/>
    </xf>
    <xf numFmtId="0" fontId="7" fillId="5" borderId="1" xfId="0" applyFont="1" applyFill="1" applyBorder="1" applyAlignment="1">
      <alignment horizontal="left" vertical="center"/>
    </xf>
    <xf numFmtId="0" fontId="7" fillId="5" borderId="35" xfId="0" applyFont="1" applyFill="1" applyBorder="1" applyAlignment="1">
      <alignment horizontal="center" vertical="center"/>
    </xf>
    <xf numFmtId="0" fontId="7" fillId="5" borderId="25" xfId="0" applyFont="1" applyFill="1" applyBorder="1"/>
    <xf numFmtId="0" fontId="7" fillId="5" borderId="26" xfId="0" applyFont="1" applyFill="1" applyBorder="1" applyAlignment="1">
      <alignment horizontal="center" vertical="center"/>
    </xf>
    <xf numFmtId="0" fontId="6" fillId="0" borderId="36" xfId="0" applyFont="1" applyBorder="1" applyAlignment="1">
      <alignment horizontal="center" vertical="center"/>
    </xf>
    <xf numFmtId="0" fontId="6" fillId="0" borderId="37" xfId="0" applyFont="1" applyBorder="1" applyAlignment="1">
      <alignment horizontal="center" vertical="center"/>
    </xf>
    <xf numFmtId="14" fontId="7" fillId="0" borderId="20" xfId="0" applyNumberFormat="1" applyFont="1" applyBorder="1" applyAlignment="1">
      <alignment horizontal="center" vertical="center"/>
    </xf>
    <xf numFmtId="14" fontId="7" fillId="0" borderId="34" xfId="0" applyNumberFormat="1" applyFont="1" applyBorder="1" applyAlignment="1">
      <alignment horizontal="center" vertical="center"/>
    </xf>
    <xf numFmtId="14" fontId="6" fillId="0" borderId="1" xfId="0" applyNumberFormat="1" applyFont="1" applyBorder="1" applyAlignment="1">
      <alignment horizontal="center" vertical="center"/>
    </xf>
    <xf numFmtId="14" fontId="6" fillId="0" borderId="7" xfId="0" applyNumberFormat="1" applyFont="1" applyBorder="1" applyAlignment="1">
      <alignment horizontal="center" vertical="center" wrapText="1"/>
    </xf>
    <xf numFmtId="0" fontId="9" fillId="0" borderId="7" xfId="0" applyFont="1" applyBorder="1" applyAlignment="1">
      <alignment horizontal="center" vertical="center"/>
    </xf>
    <xf numFmtId="14" fontId="9" fillId="0" borderId="1" xfId="0" applyNumberFormat="1" applyFont="1" applyBorder="1" applyAlignment="1">
      <alignment horizontal="center" vertical="center" wrapText="1"/>
    </xf>
    <xf numFmtId="14" fontId="6" fillId="0" borderId="1"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7" fillId="3" borderId="7" xfId="0" applyFont="1" applyFill="1" applyBorder="1" applyAlignment="1">
      <alignment horizontal="left" vertical="center"/>
    </xf>
    <xf numFmtId="0" fontId="7" fillId="6" borderId="1" xfId="0" applyFont="1" applyFill="1" applyBorder="1" applyAlignment="1">
      <alignment horizontal="center" vertical="center"/>
    </xf>
    <xf numFmtId="165" fontId="7" fillId="6" borderId="1" xfId="0" applyNumberFormat="1" applyFont="1" applyFill="1" applyBorder="1" applyAlignment="1">
      <alignment horizontal="center" vertical="center"/>
    </xf>
    <xf numFmtId="0" fontId="7" fillId="6" borderId="1" xfId="0" applyFont="1" applyFill="1" applyBorder="1" applyAlignment="1">
      <alignment horizontal="center"/>
    </xf>
    <xf numFmtId="0" fontId="7" fillId="6" borderId="1" xfId="0" applyFont="1" applyFill="1" applyBorder="1"/>
    <xf numFmtId="0" fontId="7" fillId="4" borderId="7" xfId="0" applyFont="1" applyFill="1" applyBorder="1" applyAlignment="1">
      <alignment horizontal="left" vertical="center"/>
    </xf>
    <xf numFmtId="165" fontId="7" fillId="4" borderId="1" xfId="0" applyNumberFormat="1" applyFont="1" applyFill="1" applyBorder="1" applyAlignment="1">
      <alignment horizontal="center"/>
    </xf>
    <xf numFmtId="0" fontId="7" fillId="4" borderId="1" xfId="0" applyFont="1" applyFill="1" applyBorder="1"/>
    <xf numFmtId="0" fontId="7" fillId="4" borderId="15" xfId="0" applyFont="1" applyFill="1" applyBorder="1" applyAlignment="1">
      <alignment horizontal="left" vertical="center"/>
    </xf>
    <xf numFmtId="0" fontId="8" fillId="5" borderId="14" xfId="0" applyFont="1" applyFill="1" applyBorder="1" applyAlignment="1">
      <alignment horizontal="left" vertical="center" wrapText="1"/>
    </xf>
    <xf numFmtId="0" fontId="7" fillId="5" borderId="1" xfId="0" applyFont="1" applyFill="1" applyBorder="1" applyAlignment="1">
      <alignment horizontal="center"/>
    </xf>
    <xf numFmtId="0" fontId="8" fillId="5" borderId="7" xfId="0" applyFont="1" applyFill="1" applyBorder="1" applyAlignment="1">
      <alignment horizontal="left" vertical="center" wrapText="1"/>
    </xf>
    <xf numFmtId="0" fontId="7" fillId="5" borderId="7" xfId="0" applyFont="1" applyFill="1" applyBorder="1" applyAlignment="1">
      <alignment horizontal="left" vertical="center"/>
    </xf>
    <xf numFmtId="0" fontId="7" fillId="5" borderId="7" xfId="0" applyFont="1" applyFill="1" applyBorder="1"/>
    <xf numFmtId="0" fontId="7" fillId="5" borderId="1" xfId="0" applyFont="1" applyFill="1" applyBorder="1"/>
    <xf numFmtId="0" fontId="8" fillId="5" borderId="5"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3" fillId="6" borderId="1" xfId="0" applyFont="1" applyFill="1" applyBorder="1" applyAlignment="1">
      <alignment horizontal="center" vertical="center" wrapText="1"/>
    </xf>
    <xf numFmtId="0" fontId="12" fillId="6"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13" fillId="4" borderId="1"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12" fillId="4"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13" fillId="5" borderId="1" xfId="0" applyFont="1" applyFill="1" applyBorder="1" applyAlignment="1">
      <alignment horizontal="left" vertical="center" wrapText="1"/>
    </xf>
    <xf numFmtId="0" fontId="13" fillId="5" borderId="1" xfId="0" applyFont="1" applyFill="1" applyBorder="1" applyAlignment="1">
      <alignment horizontal="center" vertical="center" wrapText="1"/>
    </xf>
    <xf numFmtId="0" fontId="14" fillId="5" borderId="1" xfId="0" applyFont="1" applyFill="1" applyBorder="1"/>
    <xf numFmtId="0" fontId="15" fillId="5" borderId="1" xfId="0" applyFont="1" applyFill="1" applyBorder="1"/>
    <xf numFmtId="0" fontId="16" fillId="5" borderId="1" xfId="0" applyFont="1" applyFill="1" applyBorder="1"/>
    <xf numFmtId="0" fontId="16" fillId="5" borderId="1" xfId="0" applyFont="1" applyFill="1" applyBorder="1" applyAlignment="1">
      <alignment horizontal="center" vertical="center"/>
    </xf>
    <xf numFmtId="0" fontId="7" fillId="3" borderId="27" xfId="0" applyFont="1" applyFill="1" applyBorder="1" applyAlignment="1">
      <alignment horizontal="center" vertical="center" wrapText="1"/>
    </xf>
    <xf numFmtId="0" fontId="7" fillId="3" borderId="2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7" borderId="1" xfId="0" applyFont="1" applyFill="1" applyBorder="1" applyAlignment="1">
      <alignment horizontal="center" vertical="center"/>
    </xf>
    <xf numFmtId="0" fontId="7" fillId="3" borderId="2" xfId="0" applyFont="1" applyFill="1" applyBorder="1" applyAlignment="1">
      <alignment horizontal="center" vertical="center" wrapText="1"/>
    </xf>
    <xf numFmtId="0" fontId="7" fillId="3" borderId="7" xfId="0" applyFont="1" applyFill="1" applyBorder="1" applyAlignment="1">
      <alignment horizontal="center" vertical="center" wrapText="1"/>
    </xf>
    <xf numFmtId="166" fontId="7" fillId="7" borderId="1" xfId="0" applyNumberFormat="1" applyFont="1" applyFill="1" applyBorder="1" applyAlignment="1">
      <alignment horizontal="center" vertical="center"/>
    </xf>
    <xf numFmtId="164" fontId="7" fillId="7" borderId="1" xfId="0" applyNumberFormat="1" applyFont="1" applyFill="1" applyBorder="1" applyAlignment="1">
      <alignment horizontal="center" vertical="center"/>
    </xf>
    <xf numFmtId="165" fontId="17" fillId="7" borderId="1" xfId="0" applyNumberFormat="1" applyFont="1" applyFill="1" applyBorder="1" applyAlignment="1">
      <alignment horizontal="center" vertical="center" shrinkToFit="1"/>
    </xf>
    <xf numFmtId="1" fontId="17" fillId="7" borderId="1" xfId="0" applyNumberFormat="1" applyFont="1" applyFill="1" applyBorder="1" applyAlignment="1">
      <alignment horizontal="center" vertical="center" shrinkToFit="1"/>
    </xf>
    <xf numFmtId="0" fontId="7" fillId="7" borderId="36" xfId="0" applyFont="1" applyFill="1" applyBorder="1" applyAlignment="1">
      <alignment horizontal="center" vertical="center"/>
    </xf>
    <xf numFmtId="0" fontId="7" fillId="3" borderId="25"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4" borderId="27" xfId="0" applyFont="1" applyFill="1" applyBorder="1" applyAlignment="1">
      <alignment horizontal="center" vertical="center" wrapText="1"/>
    </xf>
    <xf numFmtId="0" fontId="7" fillId="4" borderId="28" xfId="0" applyFont="1" applyFill="1" applyBorder="1" applyAlignment="1">
      <alignment horizontal="center" vertical="center" wrapText="1"/>
    </xf>
    <xf numFmtId="0" fontId="7" fillId="4" borderId="29"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7" xfId="0" applyFont="1" applyFill="1" applyBorder="1" applyAlignment="1">
      <alignment horizontal="center" vertical="center" wrapText="1"/>
    </xf>
    <xf numFmtId="2" fontId="7" fillId="4" borderId="1" xfId="0" applyNumberFormat="1" applyFont="1" applyFill="1" applyBorder="1" applyAlignment="1">
      <alignment horizontal="center" wrapText="1"/>
    </xf>
    <xf numFmtId="0" fontId="7" fillId="4" borderId="35" xfId="0" applyFont="1" applyFill="1" applyBorder="1" applyAlignment="1">
      <alignment horizontal="center" vertical="center" wrapText="1"/>
    </xf>
    <xf numFmtId="0" fontId="7" fillId="4" borderId="25"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30" xfId="0" applyFont="1" applyFill="1" applyBorder="1" applyAlignment="1">
      <alignment horizontal="center" vertical="center" wrapText="1"/>
    </xf>
    <xf numFmtId="0" fontId="7" fillId="5" borderId="27" xfId="0" applyFont="1" applyFill="1" applyBorder="1" applyAlignment="1">
      <alignment horizontal="center" vertical="center" wrapText="1"/>
    </xf>
    <xf numFmtId="0" fontId="7" fillId="5" borderId="28" xfId="0" applyFont="1" applyFill="1" applyBorder="1" applyAlignment="1">
      <alignment horizontal="center" vertical="center" wrapText="1"/>
    </xf>
    <xf numFmtId="0" fontId="7" fillId="5" borderId="29"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7" xfId="0" applyFont="1" applyFill="1" applyBorder="1" applyAlignment="1">
      <alignment horizontal="center" vertical="center" wrapText="1"/>
    </xf>
    <xf numFmtId="2" fontId="7" fillId="5" borderId="1" xfId="0" applyNumberFormat="1" applyFont="1" applyFill="1" applyBorder="1" applyAlignment="1">
      <alignment horizontal="center" vertical="center"/>
    </xf>
    <xf numFmtId="0" fontId="7" fillId="5" borderId="24" xfId="0" applyFont="1" applyFill="1" applyBorder="1" applyAlignment="1">
      <alignment horizontal="center" vertical="center" wrapText="1"/>
    </xf>
    <xf numFmtId="0" fontId="16" fillId="5" borderId="24" xfId="0" applyFont="1" applyFill="1" applyBorder="1" applyAlignment="1">
      <alignment horizontal="center" vertical="center" wrapText="1"/>
    </xf>
    <xf numFmtId="0" fontId="7" fillId="5" borderId="25"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7" borderId="7" xfId="0" applyFont="1" applyFill="1" applyBorder="1" applyAlignment="1">
      <alignment horizontal="center" vertical="center"/>
    </xf>
    <xf numFmtId="2" fontId="7" fillId="7" borderId="7" xfId="0" applyNumberFormat="1" applyFont="1" applyFill="1" applyBorder="1" applyAlignment="1">
      <alignment horizontal="center" vertical="center"/>
    </xf>
    <xf numFmtId="0" fontId="7" fillId="6" borderId="15" xfId="0" applyFont="1" applyFill="1" applyBorder="1" applyAlignment="1">
      <alignment horizontal="center" vertical="center" wrapText="1"/>
    </xf>
    <xf numFmtId="0" fontId="7" fillId="4" borderId="24" xfId="0" applyFont="1" applyFill="1" applyBorder="1" applyAlignment="1">
      <alignment horizontal="center" vertical="center" wrapText="1"/>
    </xf>
    <xf numFmtId="0" fontId="7" fillId="6" borderId="7" xfId="0" applyFont="1" applyFill="1" applyBorder="1" applyAlignment="1">
      <alignment horizontal="center"/>
    </xf>
    <xf numFmtId="0" fontId="7" fillId="4" borderId="7" xfId="0" applyFont="1" applyFill="1" applyBorder="1" applyAlignment="1">
      <alignment horizontal="center"/>
    </xf>
    <xf numFmtId="0" fontId="10" fillId="0" borderId="40" xfId="0" applyFont="1" applyBorder="1" applyAlignment="1">
      <alignment horizontal="center" vertical="center" wrapText="1"/>
    </xf>
    <xf numFmtId="0" fontId="11" fillId="0" borderId="20" xfId="0" applyFont="1" applyBorder="1" applyAlignment="1">
      <alignment horizontal="center" vertical="center" wrapText="1"/>
    </xf>
    <xf numFmtId="14" fontId="12" fillId="0" borderId="20" xfId="0" applyNumberFormat="1" applyFont="1" applyBorder="1" applyAlignment="1">
      <alignment horizontal="center"/>
    </xf>
    <xf numFmtId="14" fontId="12" fillId="0" borderId="34" xfId="0" applyNumberFormat="1" applyFont="1" applyBorder="1" applyAlignment="1">
      <alignment horizontal="center"/>
    </xf>
    <xf numFmtId="0" fontId="7" fillId="5" borderId="38" xfId="0" applyFont="1" applyFill="1" applyBorder="1" applyAlignment="1">
      <alignment horizontal="center" vertical="center" wrapText="1"/>
    </xf>
    <xf numFmtId="0" fontId="13" fillId="5" borderId="25" xfId="0" applyFont="1" applyFill="1" applyBorder="1" applyAlignment="1">
      <alignment horizontal="left" vertical="center" wrapText="1"/>
    </xf>
    <xf numFmtId="0" fontId="13" fillId="5" borderId="25" xfId="0" applyFont="1" applyFill="1" applyBorder="1" applyAlignment="1">
      <alignment horizontal="center" vertical="center" wrapText="1"/>
    </xf>
    <xf numFmtId="0" fontId="15" fillId="5" borderId="25" xfId="0" applyFont="1" applyFill="1" applyBorder="1" applyAlignment="1">
      <alignment horizontal="center"/>
    </xf>
    <xf numFmtId="0" fontId="15" fillId="5" borderId="26" xfId="0" applyFont="1" applyFill="1" applyBorder="1" applyAlignment="1">
      <alignment horizontal="center" vertical="center"/>
    </xf>
    <xf numFmtId="0" fontId="7" fillId="0" borderId="20" xfId="0" applyFont="1" applyBorder="1"/>
    <xf numFmtId="0" fontId="7" fillId="0" borderId="41" xfId="0" applyFont="1" applyBorder="1"/>
    <xf numFmtId="0" fontId="7" fillId="3" borderId="24" xfId="0" applyFont="1" applyFill="1" applyBorder="1" applyAlignment="1">
      <alignment horizontal="center" vertical="center"/>
    </xf>
    <xf numFmtId="0" fontId="7" fillId="4" borderId="24" xfId="0" applyFont="1" applyFill="1" applyBorder="1" applyAlignment="1">
      <alignment horizontal="center" vertical="center"/>
    </xf>
    <xf numFmtId="0" fontId="7" fillId="5" borderId="24" xfId="0" applyFont="1" applyFill="1" applyBorder="1" applyAlignment="1">
      <alignment horizontal="center" vertical="center"/>
    </xf>
    <xf numFmtId="0" fontId="6" fillId="0" borderId="39" xfId="0" applyFont="1" applyBorder="1" applyAlignment="1">
      <alignment horizontal="center" vertical="center"/>
    </xf>
    <xf numFmtId="0" fontId="6" fillId="0" borderId="36" xfId="0" applyFont="1" applyBorder="1" applyAlignment="1">
      <alignment horizontal="center" vertical="center" wrapText="1"/>
    </xf>
    <xf numFmtId="0" fontId="3" fillId="2" borderId="8" xfId="0" applyFont="1" applyFill="1" applyBorder="1" applyAlignment="1">
      <alignment horizontal="center" vertical="center"/>
    </xf>
    <xf numFmtId="0" fontId="2" fillId="0" borderId="9" xfId="0" applyFont="1" applyBorder="1"/>
    <xf numFmtId="0" fontId="2" fillId="0" borderId="10" xfId="0" applyFont="1" applyBorder="1"/>
    <xf numFmtId="0" fontId="3" fillId="2" borderId="14" xfId="0" applyFont="1" applyFill="1" applyBorder="1" applyAlignment="1">
      <alignment horizontal="center"/>
    </xf>
    <xf numFmtId="0" fontId="2" fillId="0" borderId="15" xfId="0" applyFont="1" applyBorder="1"/>
    <xf numFmtId="0" fontId="2" fillId="0" borderId="16" xfId="0" applyFont="1" applyBorder="1"/>
    <xf numFmtId="0" fontId="3" fillId="2" borderId="17" xfId="0" applyFont="1" applyFill="1" applyBorder="1" applyAlignment="1">
      <alignment horizontal="center" vertical="center"/>
    </xf>
    <xf numFmtId="0" fontId="2" fillId="0" borderId="18" xfId="0" applyFont="1" applyBorder="1"/>
    <xf numFmtId="0" fontId="2" fillId="0" borderId="19" xfId="0" applyFont="1" applyBorder="1"/>
    <xf numFmtId="1" fontId="4" fillId="0" borderId="21" xfId="0" applyNumberFormat="1" applyFont="1" applyBorder="1" applyAlignment="1">
      <alignment horizontal="center" vertical="center" wrapText="1"/>
    </xf>
    <xf numFmtId="0" fontId="2" fillId="0" borderId="22" xfId="0" applyFont="1" applyBorder="1"/>
    <xf numFmtId="0" fontId="2" fillId="0" borderId="23" xfId="0" applyFont="1" applyBorder="1"/>
    <xf numFmtId="0" fontId="3" fillId="2" borderId="7" xfId="0" applyFont="1" applyFill="1" applyBorder="1" applyAlignment="1">
      <alignment horizontal="center" vertical="center"/>
    </xf>
    <xf numFmtId="0" fontId="2" fillId="0" borderId="24" xfId="0" applyFont="1" applyBorder="1"/>
    <xf numFmtId="0" fontId="1" fillId="0" borderId="8" xfId="0" applyFont="1" applyBorder="1" applyAlignment="1">
      <alignment horizontal="center"/>
    </xf>
  </cellXfs>
  <cellStyles count="1">
    <cellStyle name="Normal" xfId="0" builtinId="0"/>
  </cellStyles>
  <dxfs count="114">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m/d/yyyy"/>
    </dxf>
    <dxf>
      <numFmt numFmtId="19" formatCode="m/d/yyyy"/>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border outline="0">
        <right style="thin">
          <color rgb="FF000000"/>
        </right>
        <top style="thin">
          <color rgb="FF000000"/>
        </top>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none"/>
      </font>
      <numFmt numFmtId="19" formatCode="m/d/yyyy"/>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404040"/>
        <name val="Arial"/>
        <family val="2"/>
        <scheme val="none"/>
      </font>
      <fill>
        <patternFill patternType="solid">
          <fgColor rgb="FFC1F0C8"/>
          <bgColor rgb="FFC1F0C8"/>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404040"/>
        <name val="Arial"/>
        <family val="2"/>
        <scheme val="none"/>
      </font>
      <fill>
        <patternFill patternType="solid">
          <fgColor rgb="FFC1F0C8"/>
          <bgColor rgb="FFC1F0C8"/>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dxf>
    <dxf>
      <border outline="0">
        <bottom style="thin">
          <color rgb="FF000000"/>
        </bottom>
      </border>
    </dxf>
    <dxf>
      <font>
        <b val="0"/>
        <i val="0"/>
        <strike val="0"/>
        <condense val="0"/>
        <extend val="0"/>
        <outline val="0"/>
        <shadow val="0"/>
        <u val="none"/>
        <vertAlign val="baseline"/>
        <sz val="10"/>
        <color auto="1"/>
        <name val="Arial"/>
        <family val="2"/>
        <scheme val="none"/>
      </font>
      <numFmt numFmtId="19" formatCode="m/d/yyyy"/>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numFmt numFmtId="165" formatCode="0.000"/>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top style="thin">
          <color rgb="FF000000"/>
        </top>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border diagonalUp="0" diagonalDown="0">
        <left style="medium">
          <color rgb="FF000000"/>
        </left>
        <right style="thin">
          <color rgb="FF000000"/>
        </right>
        <top style="thin">
          <color rgb="FF000000"/>
        </top>
        <bottom style="thin">
          <color rgb="FF000000"/>
        </bottom>
        <vertical/>
        <horizontal/>
      </border>
    </dxf>
    <dxf>
      <border outline="0">
        <right style="thin">
          <color rgb="FF000000"/>
        </right>
        <top style="thin">
          <color rgb="FF000000"/>
        </top>
      </border>
    </dxf>
    <dxf>
      <font>
        <b val="0"/>
        <i val="0"/>
        <strike val="0"/>
        <condense val="0"/>
        <extend val="0"/>
        <outline val="0"/>
        <shadow val="0"/>
        <u val="none"/>
        <vertAlign val="baseline"/>
        <sz val="11"/>
        <color auto="1"/>
        <name val="Aptos Narrow"/>
        <family val="2"/>
        <scheme val="none"/>
      </font>
      <fill>
        <patternFill patternType="solid">
          <fgColor rgb="FFC1F0C8"/>
          <bgColor rgb="FFC1F0C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none"/>
      </font>
      <numFmt numFmtId="19" formatCode="m/d/yyyy"/>
      <alignment horizontal="center" vertical="center" textRotation="0" wrapText="0" indent="0" justifyLastLine="0" shrinkToFit="0" readingOrder="0"/>
      <border diagonalUp="0" diagonalDown="0" outline="0">
        <left style="thin">
          <color rgb="FF000000"/>
        </left>
        <right style="thin">
          <color rgb="FF000000"/>
        </right>
        <top/>
        <bottom/>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7"/>
        </bottom>
        <vertical/>
        <horizontal/>
      </border>
    </dxf>
    <dxf>
      <font>
        <color theme="1"/>
      </font>
      <border diagonalUp="0" diagonalDown="0">
        <left/>
        <right/>
        <top/>
        <bottom/>
        <vertical/>
        <horizontal/>
      </border>
    </dxf>
    <dxf>
      <font>
        <b/>
        <color theme="1"/>
      </font>
      <border>
        <bottom style="thin">
          <color theme="7"/>
        </bottom>
        <vertical/>
        <horizontal/>
      </border>
    </dxf>
    <dxf>
      <font>
        <color theme="1"/>
      </font>
      <border diagonalUp="0" diagonalDown="0">
        <left/>
        <right/>
        <top/>
        <bottom/>
        <vertical/>
        <horizontal/>
      </border>
    </dxf>
    <dxf>
      <font>
        <b/>
        <color theme="1"/>
      </font>
      <border>
        <bottom style="thin">
          <color theme="7"/>
        </bottom>
        <vertical/>
        <horizontal/>
      </border>
    </dxf>
    <dxf>
      <font>
        <color theme="1"/>
      </font>
      <border diagonalUp="0" diagonalDown="0">
        <left/>
        <right/>
        <top/>
        <bottom/>
        <vertical/>
        <horizontal/>
      </border>
    </dxf>
    <dxf>
      <font>
        <name val="Abadi ExtraLight"/>
        <family val="2"/>
        <scheme val="none"/>
      </font>
    </dxf>
    <dxf>
      <border diagonalUp="0" diagonalDown="0">
        <left/>
        <right/>
        <top/>
        <bottom/>
        <vertical/>
        <horizontal/>
      </border>
    </dxf>
    <dxf>
      <font>
        <name val="Abadi ExtraLight"/>
        <family val="2"/>
        <scheme val="none"/>
      </font>
    </dxf>
    <dxf>
      <border diagonalUp="0" diagonalDown="0">
        <left/>
        <right/>
        <top/>
        <bottom/>
        <vertical/>
        <horizontal/>
      </border>
    </dxf>
  </dxfs>
  <tableStyles count="6" defaultTableStyle="TableStyleMedium2" defaultPivotStyle="PivotStyleLight16">
    <tableStyle name="Slicer Style 1" pivot="0" table="0" count="6" xr9:uid="{CE5AB9DC-E2FF-4C72-95C3-189ABE42D842}">
      <tableStyleElement type="wholeTable" dxfId="113"/>
      <tableStyleElement type="headerRow" dxfId="112"/>
    </tableStyle>
    <tableStyle name="Slicer Style 2" pivot="0" table="0" count="10" xr9:uid="{6174CC0B-49E5-4665-8EBD-04F7D937B441}">
      <tableStyleElement type="wholeTable" dxfId="111"/>
      <tableStyleElement type="headerRow" dxfId="110"/>
    </tableStyle>
    <tableStyle name="SlicerStyleDark4 2" pivot="0" table="0" count="10" xr9:uid="{74EF270D-7297-496B-BA5E-939B9F72BF5F}">
      <tableStyleElement type="wholeTable" dxfId="109"/>
      <tableStyleElement type="headerRow" dxfId="108"/>
    </tableStyle>
    <tableStyle name="SlicerStyleDark4 2 2" pivot="0" table="0" count="10" xr9:uid="{EDAE901F-6699-4743-BBEA-1F804AAAD8A4}">
      <tableStyleElement type="wholeTable" dxfId="107"/>
      <tableStyleElement type="headerRow" dxfId="106"/>
    </tableStyle>
    <tableStyle name="SlicerStyleDark4 2 3" pivot="0" table="0" count="10" xr9:uid="{6B4B2FB7-9B98-401E-9027-525DE287C7E6}">
      <tableStyleElement type="wholeTable" dxfId="105"/>
      <tableStyleElement type="headerRow" dxfId="104"/>
    </tableStyle>
    <tableStyle name="SlicerStyleLight1 2" pivot="0" table="0" count="10" xr9:uid="{812E3ED4-20B3-4191-AC89-515F541FFFCF}">
      <tableStyleElement type="wholeTable" dxfId="103"/>
      <tableStyleElement type="headerRow" dxfId="102"/>
    </tableStyle>
  </tableStyles>
  <colors>
    <mruColors>
      <color rgb="FFE66F26"/>
      <color rgb="FFDA721C"/>
    </mruColors>
  </colors>
  <extLst>
    <ext xmlns:x14="http://schemas.microsoft.com/office/spreadsheetml/2009/9/main" uri="{46F421CA-312F-682f-3DD2-61675219B42D}">
      <x14:dxfs count="4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gradientFill degree="180">
              <stop position="0">
                <color theme="6" tint="0.40000610370189521"/>
              </stop>
              <stop position="1">
                <color theme="6" tint="-0.25098422193060094"/>
              </stop>
            </gradientFill>
          </fill>
          <border>
            <left style="thin">
              <color rgb="FFCCCCCC"/>
            </left>
            <right style="thin">
              <color rgb="FFCCCCCC"/>
            </right>
            <top style="thin">
              <color rgb="FFCCCCCC"/>
            </top>
            <bottom style="thin">
              <color rgb="FFCCCCCC"/>
            </bottom>
            <vertical/>
            <horizontal/>
          </border>
        </dxf>
        <dxf>
          <font>
            <color rgb="FF000000"/>
          </font>
          <fill>
            <gradientFill degree="180">
              <stop position="0">
                <color theme="6" tint="0.40000610370189521"/>
              </stop>
              <stop position="1">
                <color theme="6" tint="-0.25098422193060094"/>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gradientFill degree="180">
              <stop position="0">
                <color theme="5" tint="0.40000610370189521"/>
              </stop>
              <stop position="1">
                <color theme="5" tint="-0.25098422193060094"/>
              </stop>
            </gradient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gradientFill degree="180">
              <stop position="0">
                <color theme="5" tint="0.40000610370189521"/>
              </stop>
              <stop position="1">
                <color theme="5" tint="-0.25098422193060094"/>
              </stop>
            </gradient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gradientFill degree="180">
              <stop position="0">
                <color theme="6" tint="0.40000610370189521"/>
              </stop>
              <stop position="1">
                <color theme="6" tint="-0.25098422193060094"/>
              </stop>
            </gradient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gradientFill degree="180">
              <stop position="0">
                <color theme="6" tint="0.40000610370189521"/>
              </stop>
              <stop position="1">
                <color theme="6" tint="-0.25098422193060094"/>
              </stop>
            </gradient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gradientFill>
              <stop position="0">
                <color theme="3" tint="0.74901577806939912"/>
              </stop>
              <stop position="1">
                <color theme="4"/>
              </stop>
            </gradient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gradientFill degree="180">
              <stop position="0">
                <color theme="3" tint="0.74901577806939912"/>
              </stop>
              <stop position="1">
                <color theme="4"/>
              </stop>
            </gradient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5" tint="0.39994506668294322"/>
            </patternFill>
          </fill>
        </dxf>
        <dxf>
          <fill>
            <patternFill>
              <bgColor theme="3" tint="0.24994659260841701"/>
            </patternFill>
          </fill>
        </dxf>
        <dxf>
          <fill>
            <patternFill>
              <bgColor theme="5" tint="0.39994506668294322"/>
            </patternFill>
          </fill>
        </dxf>
        <dxf>
          <fill>
            <patternFill>
              <bgColor theme="3" tint="0.24994659260841701"/>
            </patternFill>
          </fill>
        </dxf>
        <dxf>
          <fill>
            <patternFill>
              <bgColor theme="5" tint="0.39994506668294322"/>
            </patternFill>
          </fill>
        </dxf>
        <dxf>
          <font>
            <b/>
            <i val="0"/>
            <sz val="9"/>
          </font>
          <fill>
            <patternFill>
              <bgColor rgb="FFDA721C"/>
            </patternFill>
          </fill>
        </dxf>
        <dxf>
          <fill>
            <patternFill>
              <bgColor theme="3" tint="0.24994659260841701"/>
            </patternFill>
          </fill>
        </dxf>
        <dxf>
          <fill>
            <patternFill>
              <bgColor theme="3" tint="0.24994659260841701"/>
            </patternFill>
          </fill>
        </dxf>
        <dxf>
          <font>
            <color theme="3" tint="0.24994659260841701"/>
          </font>
        </dxf>
        <dxf>
          <font>
            <color theme="3" tint="0.24994659260841701"/>
          </font>
        </dxf>
        <dxf>
          <font>
            <color theme="5" tint="-0.24994659260841701"/>
          </font>
        </dxf>
        <dxf>
          <font>
            <color theme="5"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3"/>
            <x14:slicerStyleElement type="unselectedItemWithNoData" dxfId="42"/>
            <x14:slicerStyleElement type="selectedItemWithData" dxfId="41"/>
            <x14:slicerStyleElement type="selectedItemWithNoData" dxfId="40"/>
          </x14:slicerStyleElements>
        </x14:slicerStyle>
        <x14:slicerStyle name="Slicer Style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4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4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4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Table" Target="pivotTables/pivotTable6.xml"/><Relationship Id="rId21" Type="http://schemas.openxmlformats.org/officeDocument/2006/relationships/pivotTable" Target="pivotTables/pivotTable1.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84" Type="http://schemas.openxmlformats.org/officeDocument/2006/relationships/customXml" Target="../customXml/item52.xml"/><Relationship Id="rId89" Type="http://schemas.openxmlformats.org/officeDocument/2006/relationships/customXml" Target="../customXml/item57.xml"/><Relationship Id="rId112" Type="http://schemas.openxmlformats.org/officeDocument/2006/relationships/customXml" Target="../customXml/item80.xml"/><Relationship Id="rId16" Type="http://schemas.openxmlformats.org/officeDocument/2006/relationships/pivotCacheDefinition" Target="pivotCache/pivotCacheDefinition3.xml"/><Relationship Id="rId107" Type="http://schemas.openxmlformats.org/officeDocument/2006/relationships/customXml" Target="../customXml/item75.xml"/><Relationship Id="rId11" Type="http://schemas.openxmlformats.org/officeDocument/2006/relationships/pivotCacheDefinition" Target="pivotCache/pivotCacheDefinition1.xml"/><Relationship Id="rId32" Type="http://schemas.openxmlformats.org/officeDocument/2006/relationships/calcChain" Target="calcChain.xml"/><Relationship Id="rId37" Type="http://schemas.openxmlformats.org/officeDocument/2006/relationships/customXml" Target="../customXml/item5.xml"/><Relationship Id="rId53" Type="http://schemas.openxmlformats.org/officeDocument/2006/relationships/customXml" Target="../customXml/item21.xml"/><Relationship Id="rId58" Type="http://schemas.openxmlformats.org/officeDocument/2006/relationships/customXml" Target="../customXml/item26.xml"/><Relationship Id="rId74" Type="http://schemas.openxmlformats.org/officeDocument/2006/relationships/customXml" Target="../customXml/item42.xml"/><Relationship Id="rId79" Type="http://schemas.openxmlformats.org/officeDocument/2006/relationships/customXml" Target="../customXml/item47.xml"/><Relationship Id="rId102" Type="http://schemas.openxmlformats.org/officeDocument/2006/relationships/customXml" Target="../customXml/item70.xml"/><Relationship Id="rId5" Type="http://schemas.openxmlformats.org/officeDocument/2006/relationships/worksheet" Target="worksheets/sheet5.xml"/><Relationship Id="rId90" Type="http://schemas.openxmlformats.org/officeDocument/2006/relationships/customXml" Target="../customXml/item58.xml"/><Relationship Id="rId95" Type="http://schemas.openxmlformats.org/officeDocument/2006/relationships/customXml" Target="../customXml/item63.xml"/><Relationship Id="rId22" Type="http://schemas.openxmlformats.org/officeDocument/2006/relationships/pivotTable" Target="pivotTables/pivotTable2.xml"/><Relationship Id="rId27" Type="http://schemas.openxmlformats.org/officeDocument/2006/relationships/theme" Target="theme/theme1.xml"/><Relationship Id="rId43" Type="http://schemas.openxmlformats.org/officeDocument/2006/relationships/customXml" Target="../customXml/item11.xml"/><Relationship Id="rId48" Type="http://schemas.openxmlformats.org/officeDocument/2006/relationships/customXml" Target="../customXml/item16.xml"/><Relationship Id="rId64" Type="http://schemas.openxmlformats.org/officeDocument/2006/relationships/customXml" Target="../customXml/item32.xml"/><Relationship Id="rId69" Type="http://schemas.openxmlformats.org/officeDocument/2006/relationships/customXml" Target="../customXml/item37.xml"/><Relationship Id="rId113" Type="http://schemas.openxmlformats.org/officeDocument/2006/relationships/customXml" Target="../customXml/item81.xml"/><Relationship Id="rId80" Type="http://schemas.openxmlformats.org/officeDocument/2006/relationships/customXml" Target="../customXml/item48.xml"/><Relationship Id="rId85" Type="http://schemas.openxmlformats.org/officeDocument/2006/relationships/customXml" Target="../customXml/item53.xml"/><Relationship Id="rId12" Type="http://schemas.microsoft.com/office/2007/relationships/slicerCache" Target="slicerCaches/slicerCache1.xml"/><Relationship Id="rId17" Type="http://schemas.openxmlformats.org/officeDocument/2006/relationships/pivotCacheDefinition" Target="pivotCache/pivotCacheDefinition4.xml"/><Relationship Id="rId33" Type="http://schemas.openxmlformats.org/officeDocument/2006/relationships/customXml" Target="../customXml/item1.xml"/><Relationship Id="rId38" Type="http://schemas.openxmlformats.org/officeDocument/2006/relationships/customXml" Target="../customXml/item6.xml"/><Relationship Id="rId59" Type="http://schemas.openxmlformats.org/officeDocument/2006/relationships/customXml" Target="../customXml/item27.xml"/><Relationship Id="rId103" Type="http://schemas.openxmlformats.org/officeDocument/2006/relationships/customXml" Target="../customXml/item71.xml"/><Relationship Id="rId108" Type="http://schemas.openxmlformats.org/officeDocument/2006/relationships/customXml" Target="../customXml/item76.xml"/><Relationship Id="rId54" Type="http://schemas.openxmlformats.org/officeDocument/2006/relationships/customXml" Target="../customXml/item22.xml"/><Relationship Id="rId70" Type="http://schemas.openxmlformats.org/officeDocument/2006/relationships/customXml" Target="../customXml/item38.xml"/><Relationship Id="rId75" Type="http://schemas.openxmlformats.org/officeDocument/2006/relationships/customXml" Target="../customXml/item43.xml"/><Relationship Id="rId91" Type="http://schemas.openxmlformats.org/officeDocument/2006/relationships/customXml" Target="../customXml/item59.xml"/><Relationship Id="rId96" Type="http://schemas.openxmlformats.org/officeDocument/2006/relationships/customXml" Target="../customXml/item6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Table" Target="pivotTables/pivotTable3.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6" Type="http://schemas.openxmlformats.org/officeDocument/2006/relationships/customXml" Target="../customXml/item74.xml"/><Relationship Id="rId10" Type="http://schemas.openxmlformats.org/officeDocument/2006/relationships/externalLink" Target="externalLinks/externalLink1.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73" Type="http://schemas.openxmlformats.org/officeDocument/2006/relationships/customXml" Target="../customXml/item41.xml"/><Relationship Id="rId78" Type="http://schemas.openxmlformats.org/officeDocument/2006/relationships/customXml" Target="../customXml/item46.xml"/><Relationship Id="rId81" Type="http://schemas.openxmlformats.org/officeDocument/2006/relationships/customXml" Target="../customXml/item49.xml"/><Relationship Id="rId86" Type="http://schemas.openxmlformats.org/officeDocument/2006/relationships/customXml" Target="../customXml/item54.xml"/><Relationship Id="rId94" Type="http://schemas.openxmlformats.org/officeDocument/2006/relationships/customXml" Target="../customXml/item62.xml"/><Relationship Id="rId99" Type="http://schemas.openxmlformats.org/officeDocument/2006/relationships/customXml" Target="../customXml/item67.xml"/><Relationship Id="rId101" Type="http://schemas.openxmlformats.org/officeDocument/2006/relationships/customXml" Target="../customXml/item69.xml"/><Relationship Id="rId4" Type="http://schemas.openxmlformats.org/officeDocument/2006/relationships/worksheet" Target="worksheets/sheet4.xml"/><Relationship Id="rId9" Type="http://schemas.openxmlformats.org/officeDocument/2006/relationships/worksheet" Target="worksheets/sheet9.xml"/><Relationship Id="rId13" Type="http://schemas.microsoft.com/office/2007/relationships/slicerCache" Target="slicerCaches/slicerCache2.xml"/><Relationship Id="rId18" Type="http://schemas.openxmlformats.org/officeDocument/2006/relationships/pivotCacheDefinition" Target="pivotCache/pivotCacheDefinition5.xml"/><Relationship Id="rId39" Type="http://schemas.openxmlformats.org/officeDocument/2006/relationships/customXml" Target="../customXml/item7.xml"/><Relationship Id="rId109" Type="http://schemas.openxmlformats.org/officeDocument/2006/relationships/customXml" Target="../customXml/item7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 Id="rId76" Type="http://schemas.openxmlformats.org/officeDocument/2006/relationships/customXml" Target="../customXml/item44.xml"/><Relationship Id="rId97" Type="http://schemas.openxmlformats.org/officeDocument/2006/relationships/customXml" Target="../customXml/item65.xml"/><Relationship Id="rId104" Type="http://schemas.openxmlformats.org/officeDocument/2006/relationships/customXml" Target="../customXml/item72.xml"/><Relationship Id="rId7" Type="http://schemas.openxmlformats.org/officeDocument/2006/relationships/worksheet" Target="worksheets/sheet7.xml"/><Relationship Id="rId71" Type="http://schemas.openxmlformats.org/officeDocument/2006/relationships/customXml" Target="../customXml/item39.xml"/><Relationship Id="rId92" Type="http://schemas.openxmlformats.org/officeDocument/2006/relationships/customXml" Target="../customXml/item60.xml"/><Relationship Id="rId2" Type="http://schemas.openxmlformats.org/officeDocument/2006/relationships/worksheet" Target="worksheets/sheet2.xml"/><Relationship Id="rId29" Type="http://schemas.openxmlformats.org/officeDocument/2006/relationships/styles" Target="styles.xml"/><Relationship Id="rId24" Type="http://schemas.openxmlformats.org/officeDocument/2006/relationships/pivotTable" Target="pivotTables/pivotTable4.xml"/><Relationship Id="rId40" Type="http://schemas.openxmlformats.org/officeDocument/2006/relationships/customXml" Target="../customXml/item8.xml"/><Relationship Id="rId45" Type="http://schemas.openxmlformats.org/officeDocument/2006/relationships/customXml" Target="../customXml/item13.xml"/><Relationship Id="rId66" Type="http://schemas.openxmlformats.org/officeDocument/2006/relationships/customXml" Target="../customXml/item34.xml"/><Relationship Id="rId87" Type="http://schemas.openxmlformats.org/officeDocument/2006/relationships/customXml" Target="../customXml/item55.xml"/><Relationship Id="rId110" Type="http://schemas.openxmlformats.org/officeDocument/2006/relationships/customXml" Target="../customXml/item78.xml"/><Relationship Id="rId61" Type="http://schemas.openxmlformats.org/officeDocument/2006/relationships/customXml" Target="../customXml/item29.xml"/><Relationship Id="rId82" Type="http://schemas.openxmlformats.org/officeDocument/2006/relationships/customXml" Target="../customXml/item50.xml"/><Relationship Id="rId19" Type="http://schemas.openxmlformats.org/officeDocument/2006/relationships/pivotCacheDefinition" Target="pivotCache/pivotCacheDefinition6.xml"/><Relationship Id="rId14" Type="http://schemas.microsoft.com/office/2007/relationships/slicerCache" Target="slicerCaches/slicerCache3.xml"/><Relationship Id="rId30" Type="http://schemas.openxmlformats.org/officeDocument/2006/relationships/sharedStrings" Target="sharedStrings.xml"/><Relationship Id="rId35" Type="http://schemas.openxmlformats.org/officeDocument/2006/relationships/customXml" Target="../customXml/item3.xml"/><Relationship Id="rId56" Type="http://schemas.openxmlformats.org/officeDocument/2006/relationships/customXml" Target="../customXml/item24.xml"/><Relationship Id="rId77" Type="http://schemas.openxmlformats.org/officeDocument/2006/relationships/customXml" Target="../customXml/item45.xml"/><Relationship Id="rId100" Type="http://schemas.openxmlformats.org/officeDocument/2006/relationships/customXml" Target="../customXml/item68.xml"/><Relationship Id="rId105" Type="http://schemas.openxmlformats.org/officeDocument/2006/relationships/customXml" Target="../customXml/item73.xml"/><Relationship Id="rId8" Type="http://schemas.openxmlformats.org/officeDocument/2006/relationships/worksheet" Target="worksheets/sheet8.xml"/><Relationship Id="rId51" Type="http://schemas.openxmlformats.org/officeDocument/2006/relationships/customXml" Target="../customXml/item19.xml"/><Relationship Id="rId72" Type="http://schemas.openxmlformats.org/officeDocument/2006/relationships/customXml" Target="../customXml/item40.xml"/><Relationship Id="rId93" Type="http://schemas.openxmlformats.org/officeDocument/2006/relationships/customXml" Target="../customXml/item61.xml"/><Relationship Id="rId98" Type="http://schemas.openxmlformats.org/officeDocument/2006/relationships/customXml" Target="../customXml/item66.xml"/><Relationship Id="rId3" Type="http://schemas.openxmlformats.org/officeDocument/2006/relationships/worksheet" Target="worksheets/sheet3.xml"/><Relationship Id="rId25" Type="http://schemas.openxmlformats.org/officeDocument/2006/relationships/pivotTable" Target="pivotTables/pivotTable5.xml"/><Relationship Id="rId46" Type="http://schemas.openxmlformats.org/officeDocument/2006/relationships/customXml" Target="../customXml/item14.xml"/><Relationship Id="rId67" Type="http://schemas.openxmlformats.org/officeDocument/2006/relationships/customXml" Target="../customXml/item35.xml"/><Relationship Id="rId20" Type="http://schemas.openxmlformats.org/officeDocument/2006/relationships/pivotCacheDefinition" Target="pivotCache/pivotCacheDefinition7.xml"/><Relationship Id="rId41" Type="http://schemas.openxmlformats.org/officeDocument/2006/relationships/customXml" Target="../customXml/item9.xml"/><Relationship Id="rId62" Type="http://schemas.openxmlformats.org/officeDocument/2006/relationships/customXml" Target="../customXml/item30.xml"/><Relationship Id="rId83" Type="http://schemas.openxmlformats.org/officeDocument/2006/relationships/customXml" Target="../customXml/item51.xml"/><Relationship Id="rId88" Type="http://schemas.openxmlformats.org/officeDocument/2006/relationships/customXml" Target="../customXml/item56.xml"/><Relationship Id="rId111" Type="http://schemas.openxmlformats.org/officeDocument/2006/relationships/customXml" Target="../customXml/item7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Production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58092738407699"/>
          <c:y val="0.13930555555555557"/>
          <c:w val="0.75083092738407697"/>
          <c:h val="0.72125801983085447"/>
        </c:manualLayout>
      </c:layout>
      <c:barChart>
        <c:barDir val="col"/>
        <c:grouping val="clustered"/>
        <c:varyColors val="0"/>
        <c:ser>
          <c:idx val="0"/>
          <c:order val="0"/>
          <c:tx>
            <c:v>Total</c:v>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invertIfNegative val="0"/>
          <c:cat>
            <c:strLit>
              <c:ptCount val="3"/>
              <c:pt idx="0">
                <c:v>HDPE</c:v>
              </c:pt>
              <c:pt idx="1">
                <c:v>LLDPE</c:v>
              </c:pt>
              <c:pt idx="2">
                <c:v>PP</c:v>
              </c:pt>
            </c:strLit>
          </c:cat>
          <c:val>
            <c:numLit>
              <c:formatCode>General</c:formatCode>
              <c:ptCount val="3"/>
              <c:pt idx="0">
                <c:v>2606.7950000000001</c:v>
              </c:pt>
              <c:pt idx="1">
                <c:v>2960.0259999999998</c:v>
              </c:pt>
              <c:pt idx="2">
                <c:v>2959.3963333333336</c:v>
              </c:pt>
            </c:numLit>
          </c:val>
          <c:extLst>
            <c:ext xmlns:c16="http://schemas.microsoft.com/office/drawing/2014/chart" uri="{C3380CC4-5D6E-409C-BE32-E72D297353CC}">
              <c16:uniqueId val="{00000011-E484-4D54-9A7E-939241016577}"/>
            </c:ext>
          </c:extLst>
        </c:ser>
        <c:dLbls>
          <c:showLegendKey val="0"/>
          <c:showVal val="0"/>
          <c:showCatName val="0"/>
          <c:showSerName val="0"/>
          <c:showPercent val="0"/>
          <c:showBubbleSize val="0"/>
        </c:dLbls>
        <c:gapWidth val="219"/>
        <c:overlap val="-27"/>
        <c:axId val="671185231"/>
        <c:axId val="671185711"/>
      </c:barChart>
      <c:catAx>
        <c:axId val="671185231"/>
        <c:scaling>
          <c:orientation val="minMax"/>
        </c:scaling>
        <c:delete val="0"/>
        <c:axPos val="b"/>
        <c:numFmt formatCode="General" sourceLinked="0"/>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1185711"/>
        <c:crosses val="autoZero"/>
        <c:auto val="1"/>
        <c:lblAlgn val="ctr"/>
        <c:lblOffset val="100"/>
        <c:noMultiLvlLbl val="0"/>
        <c:extLst>
          <c:ext xmlns:c15="http://schemas.microsoft.com/office/drawing/2012/chart" uri="{F40574EE-89B7-4290-83BB-5DA773EAF853}">
            <c15:numFmt c:formatCode="General" c:sourceLinked="1"/>
          </c:ext>
        </c:extLst>
      </c:catAx>
      <c:valAx>
        <c:axId val="671185711"/>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1185231"/>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[Work.xlsx]PivotChartTable1</c15:name>
        <c15:fmtId val="0"/>
      </c15:pivotSource>
      <c15:pivotOptions>
        <c15:dropZoneFilter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Production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dLbl>
          <c:idx val="0"/>
          <c:layout>
            <c:manualLayout>
              <c:x val="-2.1966535433070866E-2"/>
              <c:y val="3.6706401283172936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16241032370953631"/>
              <c:y val="-9.272127442403033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dLbl>
          <c:idx val="0"/>
          <c:layout>
            <c:manualLayout>
              <c:x val="2.3516789782720458E-2"/>
              <c:y val="4.336518374763594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4-B1D3-4F89-9E3C-0184C634CD52}"/>
              </c:ext>
            </c:extLst>
          </c:dPt>
          <c:dPt>
            <c:idx val="1"/>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3-B1D3-4F89-9E3C-0184C634CD52}"/>
              </c:ext>
            </c:extLst>
          </c:dPt>
          <c:dPt>
            <c:idx val="2"/>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extLst>
              <c:ext xmlns:c16="http://schemas.microsoft.com/office/drawing/2014/chart" uri="{C3380CC4-5D6E-409C-BE32-E72D297353CC}">
                <c16:uniqueId val="{00000002-B1D3-4F89-9E3C-0184C634CD52}"/>
              </c:ext>
            </c:extLst>
          </c:dPt>
          <c:dLbls>
            <c:dLbl>
              <c:idx val="0"/>
              <c:layout>
                <c:manualLayout>
                  <c:x val="2.3516789782720458E-2"/>
                  <c:y val="4.33651837476359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1D3-4F89-9E3C-0184C634CD52}"/>
                </c:ext>
              </c:extLst>
            </c:dLbl>
            <c:dLbl>
              <c:idx val="1"/>
              <c:layout>
                <c:manualLayout>
                  <c:x val="0.16241032370953631"/>
                  <c:y val="-9.272127442403033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D3-4F89-9E3C-0184C634CD52}"/>
                </c:ext>
              </c:extLst>
            </c:dLbl>
            <c:dLbl>
              <c:idx val="2"/>
              <c:layout>
                <c:manualLayout>
                  <c:x val="-2.1966535433070866E-2"/>
                  <c:y val="3.670640128317293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1D3-4F89-9E3C-0184C634CD52}"/>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HDPE</c:v>
              </c:pt>
              <c:pt idx="1">
                <c:v>LLDPE</c:v>
              </c:pt>
              <c:pt idx="2">
                <c:v>PP</c:v>
              </c:pt>
            </c:strLit>
          </c:cat>
          <c:val>
            <c:numLit>
              <c:formatCode>0.00%</c:formatCode>
              <c:ptCount val="3"/>
              <c:pt idx="0">
                <c:v>0.30573874651408522</c:v>
              </c:pt>
              <c:pt idx="1">
                <c:v>0.34716755206646538</c:v>
              </c:pt>
              <c:pt idx="2">
                <c:v>0.34709370141944934</c:v>
              </c:pt>
            </c:numLit>
          </c:val>
          <c:extLst>
            <c:ext xmlns:c16="http://schemas.microsoft.com/office/drawing/2014/chart" uri="{C3380CC4-5D6E-409C-BE32-E72D297353CC}">
              <c16:uniqueId val="{00000000-B1D3-4F89-9E3C-0184C634CD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[Work.xlsx]PivotChartTable4</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Alarm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944549249381"/>
          <c:y val="0.13605658381937727"/>
          <c:w val="0.86194344540703238"/>
          <c:h val="0.517670994655959"/>
        </c:manualLayout>
      </c:layout>
      <c:lineChart>
        <c:grouping val="standard"/>
        <c:varyColors val="0"/>
        <c:ser>
          <c:idx val="0"/>
          <c:order val="0"/>
          <c:tx>
            <c:v>Total</c:v>
          </c:tx>
          <c:spPr>
            <a:ln w="28575" cap="rnd">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round/>
            </a:ln>
            <a:effectLst/>
          </c:spPr>
          <c:marker>
            <c:symbol val="none"/>
          </c:marker>
          <c:cat>
            <c:strLit>
              <c:ptCount val="11"/>
              <c:pt idx="0">
                <c:v>Action / Alarm</c:v>
              </c:pt>
              <c:pt idx="1">
                <c:v>Average Alarm Rate /Hour</c:v>
              </c:pt>
              <c:pt idx="2">
                <c:v>Chattering Count</c:v>
              </c:pt>
              <c:pt idx="3">
                <c:v>Fleeting Count</c:v>
              </c:pt>
              <c:pt idx="4">
                <c:v>Peak Alarm Rate (Hour)</c:v>
              </c:pt>
              <c:pt idx="5">
                <c:v>Standing Alarms</c:v>
              </c:pt>
              <c:pt idx="6">
                <c:v>Suppressed Alarms</c:v>
              </c:pt>
              <c:pt idx="7">
                <c:v>Supressed Alarms</c:v>
              </c:pt>
              <c:pt idx="8">
                <c:v>Total Actions</c:v>
              </c:pt>
              <c:pt idx="9">
                <c:v>Total Alarms</c:v>
              </c:pt>
              <c:pt idx="10">
                <c:v>Total Events</c:v>
              </c:pt>
            </c:strLit>
          </c:cat>
          <c:val>
            <c:numLit>
              <c:formatCode>General</c:formatCode>
              <c:ptCount val="11"/>
              <c:pt idx="0">
                <c:v>61.57</c:v>
              </c:pt>
              <c:pt idx="1">
                <c:v>130</c:v>
              </c:pt>
              <c:pt idx="2">
                <c:v>5216</c:v>
              </c:pt>
              <c:pt idx="3">
                <c:v>5370</c:v>
              </c:pt>
              <c:pt idx="4">
                <c:v>418.43</c:v>
              </c:pt>
              <c:pt idx="5">
                <c:v>2112</c:v>
              </c:pt>
              <c:pt idx="6">
                <c:v>30</c:v>
              </c:pt>
              <c:pt idx="7">
                <c:v>3</c:v>
              </c:pt>
              <c:pt idx="8">
                <c:v>171024</c:v>
              </c:pt>
              <c:pt idx="9">
                <c:v>11124</c:v>
              </c:pt>
              <c:pt idx="10">
                <c:v>200138</c:v>
              </c:pt>
            </c:numLit>
          </c:val>
          <c:smooth val="0"/>
          <c:extLst>
            <c:ext xmlns:c16="http://schemas.microsoft.com/office/drawing/2014/chart" uri="{C3380CC4-5D6E-409C-BE32-E72D297353CC}">
              <c16:uniqueId val="{00000006-BD2B-47F8-958D-6251CEF3E476}"/>
            </c:ext>
          </c:extLst>
        </c:ser>
        <c:dLbls>
          <c:showLegendKey val="0"/>
          <c:showVal val="0"/>
          <c:showCatName val="0"/>
          <c:showSerName val="0"/>
          <c:showPercent val="0"/>
          <c:showBubbleSize val="0"/>
        </c:dLbls>
        <c:smooth val="0"/>
        <c:axId val="1514618672"/>
        <c:axId val="1514625392"/>
      </c:lineChart>
      <c:catAx>
        <c:axId val="1514618672"/>
        <c:scaling>
          <c:orientation val="minMax"/>
        </c:scaling>
        <c:delete val="0"/>
        <c:axPos val="b"/>
        <c:numFmt formatCode="General" sourceLinked="0"/>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4625392"/>
        <c:crosses val="autoZero"/>
        <c:auto val="1"/>
        <c:lblAlgn val="ctr"/>
        <c:lblOffset val="100"/>
        <c:noMultiLvlLbl val="0"/>
        <c:extLst>
          <c:ext xmlns:c15="http://schemas.microsoft.com/office/drawing/2012/chart" uri="{F40574EE-89B7-4290-83BB-5DA773EAF853}">
            <c15:numFmt c:formatCode="General" c:sourceLinked="1"/>
          </c:ext>
        </c:extLst>
      </c:catAx>
      <c:valAx>
        <c:axId val="1514625392"/>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4618672"/>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[Work.xlsx]PivotChartTable5</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Utility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invertIfNegative val="0"/>
          <c:cat>
            <c:strLit>
              <c:ptCount val="11"/>
              <c:pt idx="0">
                <c:v>Condensate Return</c:v>
              </c:pt>
              <c:pt idx="1">
                <c:v>Cooling Water</c:v>
              </c:pt>
              <c:pt idx="2">
                <c:v>DM Water</c:v>
              </c:pt>
              <c:pt idx="3">
                <c:v>HP Steam</c:v>
              </c:pt>
              <c:pt idx="4">
                <c:v>Instrument air</c:v>
              </c:pt>
              <c:pt idx="5">
                <c:v>LP Steam</c:v>
              </c:pt>
              <c:pt idx="6">
                <c:v>MP Steam</c:v>
              </c:pt>
              <c:pt idx="7">
                <c:v>Nitrogen</c:v>
              </c:pt>
              <c:pt idx="8">
                <c:v>Plant Air</c:v>
              </c:pt>
              <c:pt idx="9">
                <c:v>Plant water</c:v>
              </c:pt>
              <c:pt idx="10">
                <c:v>Power</c:v>
              </c:pt>
            </c:strLit>
          </c:cat>
          <c:val>
            <c:numLit>
              <c:formatCode>General</c:formatCode>
              <c:ptCount val="11"/>
              <c:pt idx="0">
                <c:v>435</c:v>
              </c:pt>
              <c:pt idx="1">
                <c:v>571.68600000000004</c:v>
              </c:pt>
              <c:pt idx="2">
                <c:v>390</c:v>
              </c:pt>
              <c:pt idx="3">
                <c:v>79</c:v>
              </c:pt>
              <c:pt idx="4">
                <c:v>87.843999999999994</c:v>
              </c:pt>
              <c:pt idx="5">
                <c:v>643.29999999999995</c:v>
              </c:pt>
              <c:pt idx="6">
                <c:v>225</c:v>
              </c:pt>
              <c:pt idx="7">
                <c:v>88.153999999999996</c:v>
              </c:pt>
              <c:pt idx="8">
                <c:v>28.78</c:v>
              </c:pt>
              <c:pt idx="9">
                <c:v>19.190000000000001</c:v>
              </c:pt>
              <c:pt idx="10">
                <c:v>824</c:v>
              </c:pt>
            </c:numLit>
          </c:val>
          <c:extLst>
            <c:ext xmlns:c16="http://schemas.microsoft.com/office/drawing/2014/chart" uri="{C3380CC4-5D6E-409C-BE32-E72D297353CC}">
              <c16:uniqueId val="{00000007-27C5-49D2-8EBE-F3F968AA6587}"/>
            </c:ext>
          </c:extLst>
        </c:ser>
        <c:dLbls>
          <c:showLegendKey val="0"/>
          <c:showVal val="0"/>
          <c:showCatName val="0"/>
          <c:showSerName val="0"/>
          <c:showPercent val="0"/>
          <c:showBubbleSize val="0"/>
        </c:dLbls>
        <c:gapWidth val="219"/>
        <c:overlap val="-27"/>
        <c:axId val="1514623952"/>
        <c:axId val="1514624912"/>
      </c:barChart>
      <c:catAx>
        <c:axId val="1514623952"/>
        <c:scaling>
          <c:orientation val="minMax"/>
        </c:scaling>
        <c:delete val="0"/>
        <c:axPos val="b"/>
        <c:numFmt formatCode="General" sourceLinked="0"/>
        <c:majorTickMark val="none"/>
        <c:minorTickMark val="none"/>
        <c:tickLblPos val="nextTo"/>
        <c:spPr>
          <a:solidFill>
            <a:sysClr val="window" lastClr="FFFFFF"/>
          </a:solid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4624912"/>
        <c:crosses val="autoZero"/>
        <c:auto val="1"/>
        <c:lblAlgn val="ctr"/>
        <c:lblOffset val="100"/>
        <c:noMultiLvlLbl val="0"/>
        <c:extLst>
          <c:ext xmlns:c15="http://schemas.microsoft.com/office/drawing/2012/chart" uri="{F40574EE-89B7-4290-83BB-5DA773EAF853}">
            <c15:numFmt c:formatCode="General" c:sourceLinked="1"/>
          </c:ext>
        </c:extLst>
      </c:catAx>
      <c:valAx>
        <c:axId val="1514624912"/>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4623952"/>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[Work.xlsx]PivotChartTable6</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Alarm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invertIfNegative val="0"/>
          <c:cat>
            <c:strLit>
              <c:ptCount val="11"/>
              <c:pt idx="0">
                <c:v>Action / Alarm</c:v>
              </c:pt>
              <c:pt idx="1">
                <c:v>Average Alarm Rate /Hour</c:v>
              </c:pt>
              <c:pt idx="2">
                <c:v>Chattering Count</c:v>
              </c:pt>
              <c:pt idx="3">
                <c:v>Fleeting Count</c:v>
              </c:pt>
              <c:pt idx="4">
                <c:v>Peak Alarm Rate (Hour)</c:v>
              </c:pt>
              <c:pt idx="5">
                <c:v>Standing Alarms</c:v>
              </c:pt>
              <c:pt idx="6">
                <c:v>Suppressed Alarms</c:v>
              </c:pt>
              <c:pt idx="7">
                <c:v>Supressed Alarms</c:v>
              </c:pt>
              <c:pt idx="8">
                <c:v>Total Actions</c:v>
              </c:pt>
              <c:pt idx="9">
                <c:v>Total Alarms</c:v>
              </c:pt>
              <c:pt idx="10">
                <c:v>Total Events</c:v>
              </c:pt>
            </c:strLit>
          </c:cat>
          <c:val>
            <c:numLit>
              <c:formatCode>General</c:formatCode>
              <c:ptCount val="11"/>
              <c:pt idx="0">
                <c:v>61.57</c:v>
              </c:pt>
              <c:pt idx="1">
                <c:v>130</c:v>
              </c:pt>
              <c:pt idx="2">
                <c:v>5216</c:v>
              </c:pt>
              <c:pt idx="3">
                <c:v>5370</c:v>
              </c:pt>
              <c:pt idx="4">
                <c:v>418.43</c:v>
              </c:pt>
              <c:pt idx="5">
                <c:v>2112</c:v>
              </c:pt>
              <c:pt idx="6">
                <c:v>30</c:v>
              </c:pt>
              <c:pt idx="7">
                <c:v>3</c:v>
              </c:pt>
              <c:pt idx="8">
                <c:v>171024</c:v>
              </c:pt>
              <c:pt idx="9">
                <c:v>11124</c:v>
              </c:pt>
              <c:pt idx="10">
                <c:v>200138</c:v>
              </c:pt>
            </c:numLit>
          </c:val>
          <c:extLst>
            <c:ext xmlns:c16="http://schemas.microsoft.com/office/drawing/2014/chart" uri="{C3380CC4-5D6E-409C-BE32-E72D297353CC}">
              <c16:uniqueId val="{00000000-2C36-4262-AB31-4EA8D6FE8DB8}"/>
            </c:ext>
          </c:extLst>
        </c:ser>
        <c:dLbls>
          <c:showLegendKey val="0"/>
          <c:showVal val="0"/>
          <c:showCatName val="0"/>
          <c:showSerName val="0"/>
          <c:showPercent val="0"/>
          <c:showBubbleSize val="0"/>
        </c:dLbls>
        <c:gapWidth val="219"/>
        <c:axId val="1514616752"/>
        <c:axId val="1514617232"/>
      </c:barChart>
      <c:catAx>
        <c:axId val="1514616752"/>
        <c:scaling>
          <c:orientation val="minMax"/>
        </c:scaling>
        <c:delete val="0"/>
        <c:axPos val="l"/>
        <c:numFmt formatCode="General" sourceLinked="0"/>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4617232"/>
        <c:crosses val="autoZero"/>
        <c:auto val="1"/>
        <c:lblAlgn val="ctr"/>
        <c:lblOffset val="100"/>
        <c:noMultiLvlLbl val="0"/>
        <c:extLst>
          <c:ext xmlns:c15="http://schemas.microsoft.com/office/drawing/2012/chart" uri="{F40574EE-89B7-4290-83BB-5DA773EAF853}">
            <c15:numFmt c:formatCode="General" c:sourceLinked="1"/>
          </c:ext>
        </c:extLst>
      </c:catAx>
      <c:valAx>
        <c:axId val="1514617232"/>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461675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[Work.xlsx]PivotChartTable7</c15:name>
        <c15:fmtId val="0"/>
      </c15:pivotSource>
      <c15:pivotOptions>
        <c15:dropZoneFilter val="1"/>
        <c15:dropZoneCategories val="1"/>
        <c15:dropZoneSeries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Specific Consumption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invertIfNegative val="0"/>
          <c:cat>
            <c:strLit>
              <c:ptCount val="3"/>
              <c:pt idx="0">
                <c:v>HDPE</c:v>
              </c:pt>
              <c:pt idx="1">
                <c:v>LLDPE</c:v>
              </c:pt>
              <c:pt idx="2">
                <c:v>PP</c:v>
              </c:pt>
            </c:strLit>
          </c:cat>
          <c:val>
            <c:numLit>
              <c:formatCode>General</c:formatCode>
              <c:ptCount val="3"/>
              <c:pt idx="0">
                <c:v>10757.219999999996</c:v>
              </c:pt>
              <c:pt idx="1">
                <c:v>10252</c:v>
              </c:pt>
              <c:pt idx="2">
                <c:v>9510</c:v>
              </c:pt>
            </c:numLit>
          </c:val>
          <c:extLst>
            <c:ext xmlns:c16="http://schemas.microsoft.com/office/drawing/2014/chart" uri="{C3380CC4-5D6E-409C-BE32-E72D297353CC}">
              <c16:uniqueId val="{00000000-BA8D-43DC-A71E-6D9CD343565B}"/>
            </c:ext>
          </c:extLst>
        </c:ser>
        <c:dLbls>
          <c:showLegendKey val="0"/>
          <c:showVal val="0"/>
          <c:showCatName val="0"/>
          <c:showSerName val="0"/>
          <c:showPercent val="0"/>
          <c:showBubbleSize val="0"/>
        </c:dLbls>
        <c:gapWidth val="219"/>
        <c:overlap val="-27"/>
        <c:axId val="1514636912"/>
        <c:axId val="1514628752"/>
      </c:barChart>
      <c:catAx>
        <c:axId val="1514636912"/>
        <c:scaling>
          <c:orientation val="minMax"/>
        </c:scaling>
        <c:delete val="1"/>
        <c:axPos val="b"/>
        <c:numFmt formatCode="General" sourceLinked="0"/>
        <c:majorTickMark val="none"/>
        <c:minorTickMark val="none"/>
        <c:tickLblPos val="nextTo"/>
        <c:crossAx val="1514628752"/>
        <c:crosses val="autoZero"/>
        <c:auto val="1"/>
        <c:lblAlgn val="ctr"/>
        <c:lblOffset val="100"/>
        <c:noMultiLvlLbl val="0"/>
        <c:extLst>
          <c:ext xmlns:c15="http://schemas.microsoft.com/office/drawing/2012/chart" uri="{F40574EE-89B7-4290-83BB-5DA773EAF853}">
            <c15:numFmt c:formatCode="General" c:sourceLinked="1"/>
          </c:ext>
        </c:extLst>
      </c:catAx>
      <c:valAx>
        <c:axId val="1514628752"/>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463691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[Work.xlsx]PivotChartTable10</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102972</xdr:colOff>
      <xdr:row>0</xdr:row>
      <xdr:rowOff>51486</xdr:rowOff>
    </xdr:from>
    <xdr:to>
      <xdr:col>20</xdr:col>
      <xdr:colOff>504566</xdr:colOff>
      <xdr:row>5</xdr:row>
      <xdr:rowOff>0</xdr:rowOff>
    </xdr:to>
    <xdr:sp macro="" textlink="">
      <xdr:nvSpPr>
        <xdr:cNvPr id="2" name="Rectangle: Rounded Corners 1">
          <a:extLst>
            <a:ext uri="{FF2B5EF4-FFF2-40B4-BE49-F238E27FC236}">
              <a16:creationId xmlns:a16="http://schemas.microsoft.com/office/drawing/2014/main" id="{30AF7D29-54A3-F32D-093B-7898C278CE6F}"/>
            </a:ext>
          </a:extLst>
        </xdr:cNvPr>
        <xdr:cNvSpPr/>
      </xdr:nvSpPr>
      <xdr:spPr>
        <a:xfrm>
          <a:off x="102972" y="51486"/>
          <a:ext cx="16568351" cy="875271"/>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477397</xdr:colOff>
      <xdr:row>41</xdr:row>
      <xdr:rowOff>120804</xdr:rowOff>
    </xdr:to>
    <xdr:sp macro="" textlink="">
      <xdr:nvSpPr>
        <xdr:cNvPr id="3" name="Rectangle: Rounded Corners 2">
          <a:extLst>
            <a:ext uri="{FF2B5EF4-FFF2-40B4-BE49-F238E27FC236}">
              <a16:creationId xmlns:a16="http://schemas.microsoft.com/office/drawing/2014/main" id="{9AC5C9F0-1A9C-0E2F-61BD-C1903247EDFB}"/>
            </a:ext>
          </a:extLst>
        </xdr:cNvPr>
        <xdr:cNvSpPr/>
      </xdr:nvSpPr>
      <xdr:spPr>
        <a:xfrm>
          <a:off x="0" y="0"/>
          <a:ext cx="2261592" cy="7740804"/>
        </a:xfrm>
        <a:prstGeom prst="roundRect">
          <a:avLst/>
        </a:prstGeom>
        <a:solidFill>
          <a:sysClr val="window" lastClr="FFFFFF"/>
        </a:solidFill>
        <a:ln>
          <a:solidFill>
            <a:schemeClr val="bg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719603</xdr:colOff>
      <xdr:row>5</xdr:row>
      <xdr:rowOff>134610</xdr:rowOff>
    </xdr:from>
    <xdr:to>
      <xdr:col>11</xdr:col>
      <xdr:colOff>267130</xdr:colOff>
      <xdr:row>20</xdr:row>
      <xdr:rowOff>43057</xdr:rowOff>
    </xdr:to>
    <xdr:graphicFrame macro="">
      <xdr:nvGraphicFramePr>
        <xdr:cNvPr id="4" name="Chart 3">
          <a:extLst>
            <a:ext uri="{FF2B5EF4-FFF2-40B4-BE49-F238E27FC236}">
              <a16:creationId xmlns:a16="http://schemas.microsoft.com/office/drawing/2014/main" id="{6F643F2D-0C9D-1FF2-C962-C3216A6DE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89329</xdr:colOff>
      <xdr:row>5</xdr:row>
      <xdr:rowOff>28369</xdr:rowOff>
    </xdr:from>
    <xdr:to>
      <xdr:col>2</xdr:col>
      <xdr:colOff>266241</xdr:colOff>
      <xdr:row>15</xdr:row>
      <xdr:rowOff>74822</xdr:rowOff>
    </xdr:to>
    <mc:AlternateContent xmlns:mc="http://schemas.openxmlformats.org/markup-compatibility/2006" xmlns:a14="http://schemas.microsoft.com/office/drawing/2010/main">
      <mc:Choice Requires="a14">
        <xdr:graphicFrame macro="">
          <xdr:nvGraphicFramePr>
            <xdr:cNvPr id="5" name="Dates">
              <a:extLst>
                <a:ext uri="{FF2B5EF4-FFF2-40B4-BE49-F238E27FC236}">
                  <a16:creationId xmlns:a16="http://schemas.microsoft.com/office/drawing/2014/main" id="{C8853C4E-EF71-7CD2-1912-58ABCF040314}"/>
                </a:ext>
              </a:extLst>
            </xdr:cNvPr>
            <xdr:cNvGraphicFramePr/>
          </xdr:nvGraphicFramePr>
          <xdr:xfrm>
            <a:off x="0" y="0"/>
            <a:ext cx="0" cy="0"/>
          </xdr:xfrm>
          <a:graphic>
            <a:graphicData uri="http://schemas.microsoft.com/office/drawing/2010/slicer">
              <sle:slicer xmlns:sle="http://schemas.microsoft.com/office/drawing/2010/slicer" name="Dates"/>
            </a:graphicData>
          </a:graphic>
        </xdr:graphicFrame>
      </mc:Choice>
      <mc:Fallback xmlns="">
        <xdr:sp macro="" textlink="">
          <xdr:nvSpPr>
            <xdr:cNvPr id="0" name=""/>
            <xdr:cNvSpPr>
              <a:spLocks noTextEdit="1"/>
            </xdr:cNvSpPr>
          </xdr:nvSpPr>
          <xdr:spPr>
            <a:xfrm>
              <a:off x="89329" y="919018"/>
              <a:ext cx="1958211" cy="1827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56950</xdr:colOff>
      <xdr:row>17</xdr:row>
      <xdr:rowOff>73936</xdr:rowOff>
    </xdr:from>
    <xdr:to>
      <xdr:col>2</xdr:col>
      <xdr:colOff>220001</xdr:colOff>
      <xdr:row>24</xdr:row>
      <xdr:rowOff>35834</xdr:rowOff>
    </xdr:to>
    <mc:AlternateContent xmlns:mc="http://schemas.openxmlformats.org/markup-compatibility/2006">
      <mc:Choice xmlns:a14="http://schemas.microsoft.com/office/drawing/2010/main" Requires="a14">
        <xdr:graphicFrame macro="">
          <xdr:nvGraphicFramePr>
            <xdr:cNvPr id="6" name="planet">
              <a:extLst>
                <a:ext uri="{FF2B5EF4-FFF2-40B4-BE49-F238E27FC236}">
                  <a16:creationId xmlns:a16="http://schemas.microsoft.com/office/drawing/2014/main" id="{C12E7091-7456-A4A0-0DBF-F77881431327}"/>
                </a:ext>
              </a:extLst>
            </xdr:cNvPr>
            <xdr:cNvGraphicFramePr/>
          </xdr:nvGraphicFramePr>
          <xdr:xfrm>
            <a:off x="0" y="0"/>
            <a:ext cx="0" cy="0"/>
          </xdr:xfrm>
          <a:graphic>
            <a:graphicData uri="http://schemas.microsoft.com/office/drawing/2010/slicer">
              <sle:slicer xmlns:sle="http://schemas.microsoft.com/office/drawing/2010/slicer" name="planet"/>
            </a:graphicData>
          </a:graphic>
        </xdr:graphicFrame>
      </mc:Choice>
      <mc:Fallback>
        <xdr:sp macro="" textlink="">
          <xdr:nvSpPr>
            <xdr:cNvPr id="0" name=""/>
            <xdr:cNvSpPr>
              <a:spLocks noTextEdit="1"/>
            </xdr:cNvSpPr>
          </xdr:nvSpPr>
          <xdr:spPr>
            <a:xfrm>
              <a:off x="56950" y="3233448"/>
              <a:ext cx="1947246" cy="1262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101632</xdr:colOff>
      <xdr:row>26</xdr:row>
      <xdr:rowOff>135814</xdr:rowOff>
    </xdr:from>
    <xdr:to>
      <xdr:col>2</xdr:col>
      <xdr:colOff>339688</xdr:colOff>
      <xdr:row>36</xdr:row>
      <xdr:rowOff>168532</xdr:rowOff>
    </xdr:to>
    <mc:AlternateContent xmlns:mc="http://schemas.openxmlformats.org/markup-compatibility/2006">
      <mc:Choice xmlns:a14="http://schemas.microsoft.com/office/drawing/2010/main" Requires="a14">
        <xdr:graphicFrame macro="">
          <xdr:nvGraphicFramePr>
            <xdr:cNvPr id="7" name="utility name">
              <a:extLst>
                <a:ext uri="{FF2B5EF4-FFF2-40B4-BE49-F238E27FC236}">
                  <a16:creationId xmlns:a16="http://schemas.microsoft.com/office/drawing/2014/main" id="{2F85FF5A-AF8B-D9DC-2FB6-D92F4DDC40A2}"/>
                </a:ext>
              </a:extLst>
            </xdr:cNvPr>
            <xdr:cNvGraphicFramePr/>
          </xdr:nvGraphicFramePr>
          <xdr:xfrm>
            <a:off x="0" y="0"/>
            <a:ext cx="0" cy="0"/>
          </xdr:xfrm>
          <a:graphic>
            <a:graphicData uri="http://schemas.microsoft.com/office/drawing/2010/slicer">
              <sle:slicer xmlns:sle="http://schemas.microsoft.com/office/drawing/2010/slicer" name="utility name"/>
            </a:graphicData>
          </a:graphic>
        </xdr:graphicFrame>
      </mc:Choice>
      <mc:Fallback>
        <xdr:sp macro="" textlink="">
          <xdr:nvSpPr>
            <xdr:cNvPr id="0" name=""/>
            <xdr:cNvSpPr>
              <a:spLocks noTextEdit="1"/>
            </xdr:cNvSpPr>
          </xdr:nvSpPr>
          <xdr:spPr>
            <a:xfrm>
              <a:off x="101632" y="4968009"/>
              <a:ext cx="2022251" cy="1891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285006</xdr:colOff>
      <xdr:row>6</xdr:row>
      <xdr:rowOff>61115</xdr:rowOff>
    </xdr:from>
    <xdr:to>
      <xdr:col>15</xdr:col>
      <xdr:colOff>1041038</xdr:colOff>
      <xdr:row>19</xdr:row>
      <xdr:rowOff>141859</xdr:rowOff>
    </xdr:to>
    <xdr:graphicFrame macro="">
      <xdr:nvGraphicFramePr>
        <xdr:cNvPr id="12" name="Chart 11">
          <a:extLst>
            <a:ext uri="{FF2B5EF4-FFF2-40B4-BE49-F238E27FC236}">
              <a16:creationId xmlns:a16="http://schemas.microsoft.com/office/drawing/2014/main" id="{CF2A2273-C283-61A9-5B51-73CE8270D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92860</xdr:colOff>
      <xdr:row>23</xdr:row>
      <xdr:rowOff>120707</xdr:rowOff>
    </xdr:from>
    <xdr:to>
      <xdr:col>12</xdr:col>
      <xdr:colOff>345697</xdr:colOff>
      <xdr:row>42</xdr:row>
      <xdr:rowOff>74341</xdr:rowOff>
    </xdr:to>
    <xdr:graphicFrame macro="">
      <xdr:nvGraphicFramePr>
        <xdr:cNvPr id="13" name="Chart 12">
          <a:extLst>
            <a:ext uri="{FF2B5EF4-FFF2-40B4-BE49-F238E27FC236}">
              <a16:creationId xmlns:a16="http://schemas.microsoft.com/office/drawing/2014/main" id="{862C4A5E-E7E9-6D49-F737-F8702D8D9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32448</xdr:colOff>
      <xdr:row>22</xdr:row>
      <xdr:rowOff>114929</xdr:rowOff>
    </xdr:from>
    <xdr:to>
      <xdr:col>17</xdr:col>
      <xdr:colOff>85145</xdr:colOff>
      <xdr:row>41</xdr:row>
      <xdr:rowOff>139390</xdr:rowOff>
    </xdr:to>
    <xdr:graphicFrame macro="">
      <xdr:nvGraphicFramePr>
        <xdr:cNvPr id="14" name="Chart 13">
          <a:extLst>
            <a:ext uri="{FF2B5EF4-FFF2-40B4-BE49-F238E27FC236}">
              <a16:creationId xmlns:a16="http://schemas.microsoft.com/office/drawing/2014/main" id="{75F9CA61-E0FC-68EE-A02F-B62B24ED2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302964</xdr:colOff>
      <xdr:row>1</xdr:row>
      <xdr:rowOff>55085</xdr:rowOff>
    </xdr:from>
    <xdr:to>
      <xdr:col>2</xdr:col>
      <xdr:colOff>110169</xdr:colOff>
      <xdr:row>3</xdr:row>
      <xdr:rowOff>174434</xdr:rowOff>
    </xdr:to>
    <xdr:sp macro="" textlink="">
      <xdr:nvSpPr>
        <xdr:cNvPr id="15" name="TextBox 14">
          <a:extLst>
            <a:ext uri="{FF2B5EF4-FFF2-40B4-BE49-F238E27FC236}">
              <a16:creationId xmlns:a16="http://schemas.microsoft.com/office/drawing/2014/main" id="{57D0E42B-7B2B-F99B-911F-6EBD6325727E}"/>
            </a:ext>
          </a:extLst>
        </xdr:cNvPr>
        <xdr:cNvSpPr txBox="1"/>
      </xdr:nvSpPr>
      <xdr:spPr>
        <a:xfrm>
          <a:off x="302964" y="238699"/>
          <a:ext cx="1588265" cy="48657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effectLst>
                <a:outerShdw blurRad="50800" dist="38100" dir="2700000" sx="107000" sy="107000" algn="tl" rotWithShape="0">
                  <a:prstClr val="black">
                    <a:alpha val="40000"/>
                  </a:prstClr>
                </a:outerShdw>
              </a:effectLst>
              <a:latin typeface="Bell MT" panose="02020503060305020303" pitchFamily="18" charset="0"/>
            </a:rPr>
            <a:t>Slicers</a:t>
          </a:r>
        </a:p>
      </xdr:txBody>
    </xdr:sp>
    <xdr:clientData/>
  </xdr:twoCellAnchor>
  <xdr:twoCellAnchor>
    <xdr:from>
      <xdr:col>16</xdr:col>
      <xdr:colOff>178833</xdr:colOff>
      <xdr:row>5</xdr:row>
      <xdr:rowOff>113268</xdr:rowOff>
    </xdr:from>
    <xdr:to>
      <xdr:col>20</xdr:col>
      <xdr:colOff>41758</xdr:colOff>
      <xdr:row>22</xdr:row>
      <xdr:rowOff>11470</xdr:rowOff>
    </xdr:to>
    <xdr:graphicFrame macro="">
      <xdr:nvGraphicFramePr>
        <xdr:cNvPr id="16" name="Chart 15">
          <a:extLst>
            <a:ext uri="{FF2B5EF4-FFF2-40B4-BE49-F238E27FC236}">
              <a16:creationId xmlns:a16="http://schemas.microsoft.com/office/drawing/2014/main" id="{49F214D3-A5C6-C1F3-FCE7-B032A475B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161620</xdr:colOff>
      <xdr:row>23</xdr:row>
      <xdr:rowOff>119116</xdr:rowOff>
    </xdr:from>
    <xdr:to>
      <xdr:col>20</xdr:col>
      <xdr:colOff>954221</xdr:colOff>
      <xdr:row>40</xdr:row>
      <xdr:rowOff>83634</xdr:rowOff>
    </xdr:to>
    <xdr:graphicFrame macro="">
      <xdr:nvGraphicFramePr>
        <xdr:cNvPr id="19" name="Chart 18">
          <a:extLst>
            <a:ext uri="{FF2B5EF4-FFF2-40B4-BE49-F238E27FC236}">
              <a16:creationId xmlns:a16="http://schemas.microsoft.com/office/drawing/2014/main" id="{8DB9E9F1-1B9A-C2FE-EBBC-1CD795F35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154460</xdr:colOff>
      <xdr:row>0</xdr:row>
      <xdr:rowOff>0</xdr:rowOff>
    </xdr:from>
    <xdr:to>
      <xdr:col>18</xdr:col>
      <xdr:colOff>133866</xdr:colOff>
      <xdr:row>4</xdr:row>
      <xdr:rowOff>113270</xdr:rowOff>
    </xdr:to>
    <xdr:sp macro="" textlink="">
      <xdr:nvSpPr>
        <xdr:cNvPr id="8" name="TextBox 7">
          <a:extLst>
            <a:ext uri="{FF2B5EF4-FFF2-40B4-BE49-F238E27FC236}">
              <a16:creationId xmlns:a16="http://schemas.microsoft.com/office/drawing/2014/main" id="{9F08B902-1B4A-0219-A875-C893E1FC7E73}"/>
            </a:ext>
          </a:extLst>
        </xdr:cNvPr>
        <xdr:cNvSpPr txBox="1"/>
      </xdr:nvSpPr>
      <xdr:spPr>
        <a:xfrm>
          <a:off x="7280190" y="0"/>
          <a:ext cx="6487298" cy="85467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gradFill flip="none" rotWithShape="1">
                <a:gsLst>
                  <a:gs pos="0">
                    <a:schemeClr val="accent1">
                      <a:lumMod val="60000"/>
                      <a:lumOff val="40000"/>
                    </a:schemeClr>
                  </a:gs>
                  <a:gs pos="47000">
                    <a:srgbClr val="00B050"/>
                  </a:gs>
                  <a:gs pos="100000">
                    <a:srgbClr val="E66F26"/>
                  </a:gs>
                </a:gsLst>
                <a:lin ang="0" scaled="1"/>
                <a:tileRect/>
              </a:gradFill>
            </a:rPr>
            <a:t>DashBoard</a:t>
          </a:r>
          <a:endParaRPr lang="en-US" sz="6000" b="1">
            <a:gradFill flip="none" rotWithShape="1">
              <a:gsLst>
                <a:gs pos="0">
                  <a:schemeClr val="accent1">
                    <a:lumMod val="60000"/>
                    <a:lumOff val="40000"/>
                  </a:schemeClr>
                </a:gs>
                <a:gs pos="47000">
                  <a:srgbClr val="00B050"/>
                </a:gs>
                <a:gs pos="100000">
                  <a:srgbClr val="E66F26"/>
                </a:gs>
              </a:gsLst>
              <a:lin ang="0" scaled="1"/>
              <a:tileRect/>
            </a:gra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animals\sample%20data%20(%20Not%20real%20values)_114112%20(2).xlsx" TargetMode="External"/><Relationship Id="rId1" Type="http://schemas.openxmlformats.org/officeDocument/2006/relationships/externalLinkPath" Target="/animals/sample%20data%20(%20Not%20real%20values)_114112%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duction"/>
      <sheetName val="Utility Consumption"/>
      <sheetName val="Specific Consumption"/>
      <sheetName val="Alarm Statistics"/>
      <sheetName val="Onstream Performance"/>
    </sheetNames>
    <sheetDataSet>
      <sheetData sheetId="0">
        <row r="8">
          <cell r="D8">
            <v>78</v>
          </cell>
          <cell r="E8">
            <v>78</v>
          </cell>
          <cell r="F8">
            <v>82</v>
          </cell>
          <cell r="G8">
            <v>88</v>
          </cell>
          <cell r="H8">
            <v>90</v>
          </cell>
          <cell r="I8">
            <v>101</v>
          </cell>
          <cell r="J8">
            <v>108</v>
          </cell>
          <cell r="K8">
            <v>112</v>
          </cell>
          <cell r="L8">
            <v>114</v>
          </cell>
          <cell r="M8">
            <v>109</v>
          </cell>
          <cell r="N8">
            <v>98</v>
          </cell>
          <cell r="O8">
            <v>94</v>
          </cell>
          <cell r="P8">
            <v>90</v>
          </cell>
          <cell r="Q8">
            <v>86</v>
          </cell>
          <cell r="R8">
            <v>84</v>
          </cell>
        </row>
        <row r="23">
          <cell r="D23">
            <v>16.059999999999999</v>
          </cell>
          <cell r="E23">
            <v>13.94</v>
          </cell>
          <cell r="F23">
            <v>14.12</v>
          </cell>
          <cell r="G23">
            <v>14.57</v>
          </cell>
          <cell r="H23">
            <v>14.57</v>
          </cell>
          <cell r="I23">
            <v>15.76</v>
          </cell>
          <cell r="J23">
            <v>19.89</v>
          </cell>
          <cell r="K23">
            <v>14.12</v>
          </cell>
          <cell r="L23">
            <v>21.51</v>
          </cell>
          <cell r="M23">
            <v>16.57</v>
          </cell>
          <cell r="N23">
            <v>5.69</v>
          </cell>
          <cell r="O23">
            <v>20.05</v>
          </cell>
          <cell r="P23">
            <v>23.99</v>
          </cell>
          <cell r="Q23">
            <v>21.41</v>
          </cell>
          <cell r="R23">
            <v>21.26</v>
          </cell>
        </row>
        <row r="36">
          <cell r="D36">
            <v>43</v>
          </cell>
          <cell r="E36">
            <v>53</v>
          </cell>
          <cell r="F36">
            <v>13</v>
          </cell>
          <cell r="G36">
            <v>48</v>
          </cell>
          <cell r="H36">
            <v>23</v>
          </cell>
          <cell r="I36">
            <v>30</v>
          </cell>
          <cell r="J36">
            <v>38</v>
          </cell>
          <cell r="K36">
            <v>43</v>
          </cell>
          <cell r="L36">
            <v>22.7</v>
          </cell>
          <cell r="M36">
            <v>23.79</v>
          </cell>
          <cell r="N36">
            <v>43.48</v>
          </cell>
          <cell r="O36">
            <v>98</v>
          </cell>
          <cell r="P36">
            <v>110</v>
          </cell>
          <cell r="Q36">
            <v>88</v>
          </cell>
          <cell r="R36">
            <v>79</v>
          </cell>
        </row>
      </sheetData>
      <sheetData sheetId="1">
        <row r="2">
          <cell r="D2">
            <v>177</v>
          </cell>
          <cell r="E2">
            <v>177</v>
          </cell>
          <cell r="F2">
            <v>177</v>
          </cell>
          <cell r="G2">
            <v>177</v>
          </cell>
          <cell r="H2">
            <v>177</v>
          </cell>
          <cell r="I2">
            <v>177</v>
          </cell>
          <cell r="J2">
            <v>177</v>
          </cell>
          <cell r="K2">
            <v>153</v>
          </cell>
          <cell r="L2">
            <v>145</v>
          </cell>
          <cell r="M2">
            <v>177</v>
          </cell>
          <cell r="N2">
            <v>145</v>
          </cell>
          <cell r="O2">
            <v>147</v>
          </cell>
          <cell r="P2">
            <v>177</v>
          </cell>
          <cell r="Q2">
            <v>144</v>
          </cell>
          <cell r="R2">
            <v>143</v>
          </cell>
        </row>
        <row r="3">
          <cell r="D3">
            <v>88</v>
          </cell>
          <cell r="E3">
            <v>88</v>
          </cell>
          <cell r="F3">
            <v>87</v>
          </cell>
          <cell r="G3">
            <v>87</v>
          </cell>
          <cell r="H3">
            <v>87</v>
          </cell>
          <cell r="I3">
            <v>87</v>
          </cell>
          <cell r="J3">
            <v>87</v>
          </cell>
          <cell r="K3">
            <v>89</v>
          </cell>
          <cell r="L3">
            <v>89</v>
          </cell>
          <cell r="M3">
            <v>88</v>
          </cell>
          <cell r="N3">
            <v>92</v>
          </cell>
          <cell r="O3">
            <v>95</v>
          </cell>
          <cell r="P3">
            <v>88</v>
          </cell>
          <cell r="Q3">
            <v>94</v>
          </cell>
          <cell r="R3">
            <v>94</v>
          </cell>
        </row>
        <row r="4">
          <cell r="D4">
            <v>156</v>
          </cell>
          <cell r="E4">
            <v>157</v>
          </cell>
          <cell r="F4">
            <v>153</v>
          </cell>
          <cell r="G4">
            <v>158</v>
          </cell>
          <cell r="H4">
            <v>154</v>
          </cell>
          <cell r="I4">
            <v>153</v>
          </cell>
          <cell r="J4">
            <v>155</v>
          </cell>
          <cell r="K4">
            <v>155</v>
          </cell>
          <cell r="L4">
            <v>157</v>
          </cell>
          <cell r="M4">
            <v>156</v>
          </cell>
          <cell r="N4">
            <v>186</v>
          </cell>
          <cell r="O4">
            <v>187</v>
          </cell>
          <cell r="P4">
            <v>157</v>
          </cell>
          <cell r="Q4">
            <v>192</v>
          </cell>
          <cell r="R4">
            <v>192</v>
          </cell>
        </row>
        <row r="5">
          <cell r="D5">
            <v>5</v>
          </cell>
          <cell r="E5">
            <v>3</v>
          </cell>
          <cell r="F5">
            <v>5</v>
          </cell>
          <cell r="G5">
            <v>1</v>
          </cell>
          <cell r="H5">
            <v>3</v>
          </cell>
          <cell r="I5">
            <v>2</v>
          </cell>
          <cell r="J5">
            <v>3</v>
          </cell>
          <cell r="K5">
            <v>1</v>
          </cell>
          <cell r="L5">
            <v>1</v>
          </cell>
          <cell r="M5">
            <v>5</v>
          </cell>
          <cell r="N5">
            <v>1</v>
          </cell>
          <cell r="O5">
            <v>0</v>
          </cell>
          <cell r="P5">
            <v>3</v>
          </cell>
          <cell r="Q5">
            <v>1</v>
          </cell>
          <cell r="R5">
            <v>2</v>
          </cell>
        </row>
        <row r="6">
          <cell r="D6">
            <v>118</v>
          </cell>
          <cell r="E6">
            <v>115</v>
          </cell>
          <cell r="F6">
            <v>118</v>
          </cell>
          <cell r="G6">
            <v>257</v>
          </cell>
          <cell r="H6">
            <v>120</v>
          </cell>
          <cell r="I6">
            <v>119</v>
          </cell>
          <cell r="J6">
            <v>117</v>
          </cell>
          <cell r="K6">
            <v>170</v>
          </cell>
          <cell r="L6">
            <v>271</v>
          </cell>
          <cell r="M6">
            <v>118</v>
          </cell>
          <cell r="N6">
            <v>108</v>
          </cell>
          <cell r="O6">
            <v>102</v>
          </cell>
          <cell r="P6">
            <v>115</v>
          </cell>
          <cell r="Q6">
            <v>129</v>
          </cell>
          <cell r="R6">
            <v>137</v>
          </cell>
        </row>
        <row r="7">
          <cell r="D7">
            <v>3</v>
          </cell>
          <cell r="E7">
            <v>2</v>
          </cell>
          <cell r="F7">
            <v>4</v>
          </cell>
          <cell r="G7">
            <v>5</v>
          </cell>
          <cell r="H7">
            <v>3</v>
          </cell>
          <cell r="I7">
            <v>1</v>
          </cell>
          <cell r="J7">
            <v>1</v>
          </cell>
          <cell r="K7">
            <v>2</v>
          </cell>
          <cell r="L7">
            <v>1</v>
          </cell>
          <cell r="M7">
            <v>3</v>
          </cell>
          <cell r="N7">
            <v>1</v>
          </cell>
          <cell r="O7">
            <v>1</v>
          </cell>
          <cell r="P7">
            <v>2</v>
          </cell>
          <cell r="Q7">
            <v>3</v>
          </cell>
          <cell r="R7">
            <v>1</v>
          </cell>
        </row>
        <row r="8">
          <cell r="D8">
            <v>34</v>
          </cell>
          <cell r="E8">
            <v>34</v>
          </cell>
          <cell r="F8">
            <v>34</v>
          </cell>
          <cell r="G8">
            <v>34</v>
          </cell>
          <cell r="H8">
            <v>34</v>
          </cell>
          <cell r="I8">
            <v>34</v>
          </cell>
          <cell r="J8">
            <v>34</v>
          </cell>
          <cell r="K8">
            <v>33</v>
          </cell>
          <cell r="L8">
            <v>34</v>
          </cell>
          <cell r="M8">
            <v>34</v>
          </cell>
          <cell r="N8">
            <v>34</v>
          </cell>
          <cell r="O8">
            <v>33</v>
          </cell>
          <cell r="P8">
            <v>34</v>
          </cell>
          <cell r="Q8">
            <v>34</v>
          </cell>
          <cell r="R8">
            <v>34</v>
          </cell>
        </row>
        <row r="9">
          <cell r="D9">
            <v>31</v>
          </cell>
          <cell r="E9">
            <v>31</v>
          </cell>
          <cell r="F9">
            <v>30</v>
          </cell>
          <cell r="G9">
            <v>27</v>
          </cell>
          <cell r="H9">
            <v>27</v>
          </cell>
          <cell r="I9">
            <v>27</v>
          </cell>
          <cell r="J9">
            <v>27</v>
          </cell>
          <cell r="K9">
            <v>27</v>
          </cell>
          <cell r="L9">
            <v>28</v>
          </cell>
          <cell r="M9">
            <v>31</v>
          </cell>
          <cell r="N9">
            <v>26</v>
          </cell>
          <cell r="O9">
            <v>25</v>
          </cell>
          <cell r="P9">
            <v>31</v>
          </cell>
          <cell r="Q9">
            <v>25</v>
          </cell>
          <cell r="R9">
            <v>24</v>
          </cell>
        </row>
        <row r="10">
          <cell r="D10">
            <v>366</v>
          </cell>
          <cell r="E10">
            <v>349</v>
          </cell>
          <cell r="F10">
            <v>372</v>
          </cell>
          <cell r="G10">
            <v>367</v>
          </cell>
          <cell r="H10">
            <v>372</v>
          </cell>
          <cell r="I10">
            <v>368</v>
          </cell>
          <cell r="J10">
            <v>371</v>
          </cell>
          <cell r="K10">
            <v>350</v>
          </cell>
          <cell r="L10">
            <v>354</v>
          </cell>
          <cell r="M10">
            <v>366</v>
          </cell>
          <cell r="N10">
            <v>349</v>
          </cell>
          <cell r="O10">
            <v>350</v>
          </cell>
          <cell r="P10">
            <v>349</v>
          </cell>
          <cell r="Q10">
            <v>370</v>
          </cell>
          <cell r="R10">
            <v>371</v>
          </cell>
        </row>
        <row r="11">
          <cell r="D11">
            <v>50</v>
          </cell>
          <cell r="E11">
            <v>50</v>
          </cell>
          <cell r="F11">
            <v>51</v>
          </cell>
          <cell r="G11">
            <v>51</v>
          </cell>
          <cell r="H11">
            <v>50</v>
          </cell>
          <cell r="I11">
            <v>52</v>
          </cell>
          <cell r="J11">
            <v>47</v>
          </cell>
          <cell r="K11">
            <v>44</v>
          </cell>
          <cell r="L11">
            <v>50</v>
          </cell>
          <cell r="M11">
            <v>50</v>
          </cell>
          <cell r="N11">
            <v>51</v>
          </cell>
          <cell r="O11">
            <v>51</v>
          </cell>
          <cell r="P11">
            <v>50</v>
          </cell>
          <cell r="Q11">
            <v>50</v>
          </cell>
          <cell r="R11">
            <v>49</v>
          </cell>
        </row>
        <row r="12">
          <cell r="D12">
            <v>209</v>
          </cell>
          <cell r="E12">
            <v>195</v>
          </cell>
          <cell r="F12">
            <v>188</v>
          </cell>
          <cell r="G12">
            <v>195</v>
          </cell>
          <cell r="H12">
            <v>191</v>
          </cell>
          <cell r="I12">
            <v>196</v>
          </cell>
          <cell r="J12">
            <v>206</v>
          </cell>
          <cell r="K12">
            <v>210</v>
          </cell>
          <cell r="L12">
            <v>216</v>
          </cell>
          <cell r="M12">
            <v>191</v>
          </cell>
          <cell r="N12">
            <v>103</v>
          </cell>
          <cell r="O12">
            <v>205</v>
          </cell>
          <cell r="P12">
            <v>247</v>
          </cell>
          <cell r="Q12">
            <v>94</v>
          </cell>
          <cell r="R12">
            <v>252</v>
          </cell>
        </row>
        <row r="13">
          <cell r="D13">
            <v>96</v>
          </cell>
          <cell r="E13">
            <v>93</v>
          </cell>
          <cell r="F13">
            <v>94</v>
          </cell>
          <cell r="G13">
            <v>103</v>
          </cell>
          <cell r="H13">
            <v>104</v>
          </cell>
          <cell r="I13">
            <v>109</v>
          </cell>
          <cell r="J13">
            <v>107</v>
          </cell>
          <cell r="K13">
            <v>135</v>
          </cell>
          <cell r="L13">
            <v>127</v>
          </cell>
          <cell r="M13">
            <v>147</v>
          </cell>
          <cell r="N13">
            <v>134</v>
          </cell>
          <cell r="O13">
            <v>110</v>
          </cell>
          <cell r="P13">
            <v>106</v>
          </cell>
          <cell r="Q13">
            <v>242.6</v>
          </cell>
          <cell r="R13">
            <v>111</v>
          </cell>
        </row>
        <row r="14">
          <cell r="D14">
            <v>250.4</v>
          </cell>
          <cell r="E14">
            <v>244.9</v>
          </cell>
          <cell r="F14">
            <v>242.6</v>
          </cell>
          <cell r="G14">
            <v>241.9</v>
          </cell>
          <cell r="H14">
            <v>251.7</v>
          </cell>
          <cell r="I14">
            <v>254.4</v>
          </cell>
          <cell r="J14">
            <v>256.60000000000002</v>
          </cell>
          <cell r="K14">
            <v>253.3</v>
          </cell>
          <cell r="L14">
            <v>254.3</v>
          </cell>
          <cell r="M14">
            <v>303.8</v>
          </cell>
          <cell r="N14">
            <v>338.4</v>
          </cell>
          <cell r="O14">
            <v>295.8</v>
          </cell>
          <cell r="P14">
            <v>246.7</v>
          </cell>
          <cell r="Q14">
            <v>145.465</v>
          </cell>
          <cell r="R14">
            <v>251</v>
          </cell>
        </row>
        <row r="15">
          <cell r="D15">
            <v>154.38999999999999</v>
          </cell>
          <cell r="E15">
            <v>146.51499999999999</v>
          </cell>
          <cell r="F15">
            <v>145.465</v>
          </cell>
          <cell r="G15">
            <v>145.548</v>
          </cell>
          <cell r="H15">
            <v>147.827</v>
          </cell>
          <cell r="I15">
            <v>146.059</v>
          </cell>
          <cell r="J15">
            <v>147.34700000000001</v>
          </cell>
          <cell r="K15">
            <v>153.60400000000001</v>
          </cell>
          <cell r="L15">
            <v>165.374</v>
          </cell>
          <cell r="M15">
            <v>167.95500000000001</v>
          </cell>
          <cell r="N15">
            <v>166.59700000000001</v>
          </cell>
          <cell r="O15">
            <v>172.51400000000001</v>
          </cell>
          <cell r="P15">
            <v>176.596</v>
          </cell>
          <cell r="Q15">
            <v>27.986999999999998</v>
          </cell>
          <cell r="R15">
            <v>174.71199999999999</v>
          </cell>
        </row>
        <row r="16">
          <cell r="D16">
            <v>27.79</v>
          </cell>
          <cell r="E16">
            <v>28.297000000000001</v>
          </cell>
          <cell r="F16">
            <v>27.986999999999998</v>
          </cell>
          <cell r="G16">
            <v>27.832000000000001</v>
          </cell>
          <cell r="H16">
            <v>28.244</v>
          </cell>
          <cell r="I16">
            <v>28.344999999999999</v>
          </cell>
          <cell r="J16">
            <v>28.262</v>
          </cell>
          <cell r="K16">
            <v>28.503</v>
          </cell>
          <cell r="L16">
            <v>28.169</v>
          </cell>
          <cell r="M16">
            <v>28.532</v>
          </cell>
          <cell r="N16">
            <v>27.838999999999999</v>
          </cell>
          <cell r="O16">
            <v>27.501999999999999</v>
          </cell>
          <cell r="P16">
            <v>27.88</v>
          </cell>
          <cell r="Q16">
            <v>40.758000000000003</v>
          </cell>
          <cell r="R16">
            <v>27.564</v>
          </cell>
        </row>
        <row r="17">
          <cell r="D17">
            <v>41.8</v>
          </cell>
          <cell r="E17">
            <v>40.848999999999997</v>
          </cell>
          <cell r="F17">
            <v>40.758000000000003</v>
          </cell>
          <cell r="G17">
            <v>41.137</v>
          </cell>
          <cell r="H17">
            <v>41.198999999999998</v>
          </cell>
          <cell r="I17">
            <v>40.731000000000002</v>
          </cell>
          <cell r="J17">
            <v>41.009</v>
          </cell>
          <cell r="K17">
            <v>35.545999999999999</v>
          </cell>
          <cell r="L17">
            <v>40.200000000000003</v>
          </cell>
          <cell r="M17">
            <v>33.271999999999998</v>
          </cell>
          <cell r="N17">
            <v>32.200000000000003</v>
          </cell>
          <cell r="O17">
            <v>32.5</v>
          </cell>
          <cell r="P17">
            <v>38.5</v>
          </cell>
          <cell r="Q17">
            <v>104.3</v>
          </cell>
          <cell r="R17">
            <v>42.645000000000003</v>
          </cell>
        </row>
        <row r="18">
          <cell r="D18">
            <v>100.8</v>
          </cell>
          <cell r="E18">
            <v>105.7</v>
          </cell>
          <cell r="F18">
            <v>104.3</v>
          </cell>
          <cell r="G18">
            <v>102.3</v>
          </cell>
          <cell r="H18">
            <v>109</v>
          </cell>
          <cell r="I18">
            <v>110</v>
          </cell>
          <cell r="J18">
            <v>109.4</v>
          </cell>
          <cell r="K18">
            <v>110</v>
          </cell>
          <cell r="L18">
            <v>112.4</v>
          </cell>
          <cell r="M18">
            <v>131.69999999999999</v>
          </cell>
          <cell r="N18">
            <v>166.2</v>
          </cell>
          <cell r="O18">
            <v>113.8</v>
          </cell>
          <cell r="P18">
            <v>113.6</v>
          </cell>
          <cell r="Q18">
            <v>0.114</v>
          </cell>
          <cell r="R18">
            <v>116</v>
          </cell>
        </row>
        <row r="19">
          <cell r="D19">
            <v>0.34200000000000003</v>
          </cell>
          <cell r="E19">
            <v>8.3400000000000002E-2</v>
          </cell>
          <cell r="F19">
            <v>0.114</v>
          </cell>
          <cell r="G19">
            <v>0.69399999999999995</v>
          </cell>
          <cell r="H19">
            <v>0.156</v>
          </cell>
          <cell r="I19">
            <v>0.69499999999999995</v>
          </cell>
          <cell r="J19">
            <v>8.1050000000000004</v>
          </cell>
          <cell r="K19">
            <v>1.2629999999999999</v>
          </cell>
          <cell r="L19">
            <v>2.1549999999999998</v>
          </cell>
          <cell r="M19">
            <v>2.415</v>
          </cell>
          <cell r="N19">
            <v>2.0960000000000001</v>
          </cell>
          <cell r="O19">
            <v>2.524</v>
          </cell>
          <cell r="P19">
            <v>3.839</v>
          </cell>
          <cell r="Q19">
            <v>15.5</v>
          </cell>
          <cell r="R19">
            <v>7.1550000000000002</v>
          </cell>
        </row>
        <row r="20">
          <cell r="D20">
            <v>15.5</v>
          </cell>
          <cell r="E20">
            <v>15.4</v>
          </cell>
          <cell r="F20">
            <v>15.5</v>
          </cell>
          <cell r="G20">
            <v>14.6</v>
          </cell>
          <cell r="H20">
            <v>14</v>
          </cell>
          <cell r="I20">
            <v>13</v>
          </cell>
          <cell r="J20">
            <v>12.5</v>
          </cell>
          <cell r="K20">
            <v>12.3</v>
          </cell>
          <cell r="L20">
            <v>11.9</v>
          </cell>
          <cell r="M20">
            <v>11.7</v>
          </cell>
          <cell r="N20">
            <v>11.4</v>
          </cell>
          <cell r="O20">
            <v>15.4</v>
          </cell>
          <cell r="P20">
            <v>17.2</v>
          </cell>
          <cell r="Q20">
            <v>17.7</v>
          </cell>
          <cell r="R20">
            <v>17.7</v>
          </cell>
        </row>
        <row r="21">
          <cell r="D21">
            <v>255</v>
          </cell>
          <cell r="E21">
            <v>256</v>
          </cell>
          <cell r="F21">
            <v>242</v>
          </cell>
          <cell r="G21">
            <v>254</v>
          </cell>
          <cell r="H21">
            <v>259</v>
          </cell>
          <cell r="I21">
            <v>254</v>
          </cell>
          <cell r="J21">
            <v>257</v>
          </cell>
          <cell r="K21">
            <v>264</v>
          </cell>
          <cell r="L21">
            <v>265</v>
          </cell>
          <cell r="M21">
            <v>261</v>
          </cell>
          <cell r="N21">
            <v>264</v>
          </cell>
          <cell r="O21">
            <v>265</v>
          </cell>
          <cell r="P21">
            <v>255</v>
          </cell>
          <cell r="Q21">
            <v>265</v>
          </cell>
          <cell r="R21">
            <v>265</v>
          </cell>
        </row>
        <row r="22">
          <cell r="D22">
            <v>79</v>
          </cell>
          <cell r="E22">
            <v>72</v>
          </cell>
          <cell r="F22">
            <v>79</v>
          </cell>
          <cell r="G22">
            <v>84</v>
          </cell>
          <cell r="H22">
            <v>80</v>
          </cell>
          <cell r="I22">
            <v>78</v>
          </cell>
          <cell r="J22">
            <v>79</v>
          </cell>
          <cell r="K22">
            <v>79</v>
          </cell>
          <cell r="L22">
            <v>82</v>
          </cell>
          <cell r="M22">
            <v>82</v>
          </cell>
          <cell r="N22">
            <v>79</v>
          </cell>
          <cell r="O22">
            <v>83</v>
          </cell>
          <cell r="P22">
            <v>90</v>
          </cell>
          <cell r="Q22">
            <v>82</v>
          </cell>
          <cell r="R22">
            <v>93</v>
          </cell>
        </row>
        <row r="23">
          <cell r="D23">
            <v>138</v>
          </cell>
          <cell r="E23">
            <v>147</v>
          </cell>
          <cell r="F23">
            <v>148</v>
          </cell>
          <cell r="G23">
            <v>142</v>
          </cell>
          <cell r="H23">
            <v>141</v>
          </cell>
          <cell r="I23">
            <v>143</v>
          </cell>
          <cell r="J23">
            <v>138</v>
          </cell>
          <cell r="K23">
            <v>136</v>
          </cell>
          <cell r="L23">
            <v>132</v>
          </cell>
          <cell r="M23">
            <v>136</v>
          </cell>
          <cell r="N23">
            <v>142</v>
          </cell>
          <cell r="O23">
            <v>132</v>
          </cell>
          <cell r="P23">
            <v>141</v>
          </cell>
          <cell r="Q23">
            <v>132</v>
          </cell>
          <cell r="R23">
            <v>142</v>
          </cell>
        </row>
        <row r="24">
          <cell r="D24">
            <v>228</v>
          </cell>
          <cell r="E24">
            <v>231</v>
          </cell>
          <cell r="F24">
            <v>223</v>
          </cell>
          <cell r="G24">
            <v>235</v>
          </cell>
          <cell r="H24">
            <v>231</v>
          </cell>
          <cell r="I24">
            <v>229</v>
          </cell>
          <cell r="J24">
            <v>233</v>
          </cell>
          <cell r="K24">
            <v>235</v>
          </cell>
          <cell r="L24">
            <v>236</v>
          </cell>
          <cell r="M24">
            <v>239</v>
          </cell>
          <cell r="N24">
            <v>240</v>
          </cell>
          <cell r="O24">
            <v>237</v>
          </cell>
          <cell r="P24">
            <v>234</v>
          </cell>
          <cell r="Q24">
            <v>236</v>
          </cell>
          <cell r="R24">
            <v>222</v>
          </cell>
        </row>
        <row r="25">
          <cell r="D25">
            <v>84</v>
          </cell>
          <cell r="E25">
            <v>78</v>
          </cell>
          <cell r="F25">
            <v>74</v>
          </cell>
          <cell r="G25">
            <v>71</v>
          </cell>
          <cell r="H25">
            <v>89</v>
          </cell>
          <cell r="I25">
            <v>97</v>
          </cell>
          <cell r="J25">
            <v>89</v>
          </cell>
          <cell r="K25">
            <v>85</v>
          </cell>
          <cell r="L25">
            <v>83</v>
          </cell>
          <cell r="M25">
            <v>89</v>
          </cell>
          <cell r="N25">
            <v>94</v>
          </cell>
          <cell r="O25">
            <v>146</v>
          </cell>
          <cell r="P25">
            <v>139</v>
          </cell>
          <cell r="Q25">
            <v>83</v>
          </cell>
          <cell r="R25">
            <v>156</v>
          </cell>
        </row>
        <row r="26">
          <cell r="D26">
            <v>24.024000000000001</v>
          </cell>
          <cell r="E26">
            <v>23.664999999999999</v>
          </cell>
          <cell r="F26">
            <v>25.88</v>
          </cell>
          <cell r="G26">
            <v>26.533999999999999</v>
          </cell>
          <cell r="H26">
            <v>25.146000000000001</v>
          </cell>
          <cell r="I26">
            <v>25.253</v>
          </cell>
          <cell r="J26">
            <v>25.649000000000001</v>
          </cell>
          <cell r="K26">
            <v>25.608000000000001</v>
          </cell>
          <cell r="L26">
            <v>24.245999999999999</v>
          </cell>
          <cell r="M26">
            <v>24.12</v>
          </cell>
          <cell r="N26">
            <v>23.835000000000001</v>
          </cell>
          <cell r="O26">
            <v>23.780999999999999</v>
          </cell>
          <cell r="P26">
            <v>26.643000000000001</v>
          </cell>
          <cell r="Q26">
            <v>24.245999999999999</v>
          </cell>
          <cell r="R26">
            <v>23.052</v>
          </cell>
        </row>
        <row r="27">
          <cell r="D27">
            <v>259.19</v>
          </cell>
          <cell r="E27">
            <v>260.22399999999999</v>
          </cell>
          <cell r="F27">
            <v>261.75200000000001</v>
          </cell>
          <cell r="G27">
            <v>260.39600000000002</v>
          </cell>
          <cell r="H27">
            <v>257.92700000000002</v>
          </cell>
          <cell r="I27">
            <v>258.71499999999997</v>
          </cell>
          <cell r="J27">
            <v>258.642</v>
          </cell>
          <cell r="K27">
            <v>265.08199999999999</v>
          </cell>
          <cell r="L27">
            <v>264.90699999999998</v>
          </cell>
          <cell r="M27">
            <v>263.35599999999999</v>
          </cell>
          <cell r="N27">
            <v>262.7</v>
          </cell>
          <cell r="O27">
            <v>259.596</v>
          </cell>
          <cell r="P27">
            <v>259.57799999999997</v>
          </cell>
          <cell r="Q27">
            <v>264.90699999999998</v>
          </cell>
          <cell r="R27">
            <v>260.30500000000001</v>
          </cell>
        </row>
        <row r="28">
          <cell r="D28">
            <v>26.074999999999999</v>
          </cell>
          <cell r="E28">
            <v>26.343</v>
          </cell>
          <cell r="F28">
            <v>26.003</v>
          </cell>
          <cell r="G28">
            <v>26.149000000000001</v>
          </cell>
          <cell r="H28">
            <v>26.443000000000001</v>
          </cell>
          <cell r="I28">
            <v>26.4</v>
          </cell>
          <cell r="J28">
            <v>26.274000000000001</v>
          </cell>
          <cell r="K28">
            <v>26.341000000000001</v>
          </cell>
          <cell r="L28">
            <v>26.33</v>
          </cell>
          <cell r="M28">
            <v>26.800999999999998</v>
          </cell>
          <cell r="N28">
            <v>26.556999999999999</v>
          </cell>
          <cell r="O28">
            <v>26.509</v>
          </cell>
          <cell r="P28">
            <v>26.484999999999999</v>
          </cell>
          <cell r="Q28">
            <v>26.33</v>
          </cell>
          <cell r="R28">
            <v>26.155999999999999</v>
          </cell>
        </row>
        <row r="29">
          <cell r="D29">
            <v>29.382000000000001</v>
          </cell>
          <cell r="E29">
            <v>29.009</v>
          </cell>
          <cell r="F29">
            <v>28.602</v>
          </cell>
          <cell r="G29">
            <v>28.372</v>
          </cell>
          <cell r="H29">
            <v>27.821999999999999</v>
          </cell>
          <cell r="I29">
            <v>26.835000000000001</v>
          </cell>
          <cell r="J29">
            <v>28.396999999999998</v>
          </cell>
          <cell r="K29">
            <v>25.516999999999999</v>
          </cell>
          <cell r="L29">
            <v>28.123000000000001</v>
          </cell>
          <cell r="M29">
            <v>27.809000000000001</v>
          </cell>
          <cell r="N29">
            <v>28.992000000000001</v>
          </cell>
          <cell r="O29">
            <v>28.658000000000001</v>
          </cell>
          <cell r="P29">
            <v>29.021000000000001</v>
          </cell>
          <cell r="Q29">
            <v>28.123000000000001</v>
          </cell>
          <cell r="R29">
            <v>27.879000000000001</v>
          </cell>
        </row>
        <row r="30">
          <cell r="D30">
            <v>8.76</v>
          </cell>
          <cell r="E30">
            <v>6.27</v>
          </cell>
          <cell r="F30">
            <v>5.35</v>
          </cell>
          <cell r="G30">
            <v>7.14</v>
          </cell>
          <cell r="H30">
            <v>3.34</v>
          </cell>
          <cell r="I30">
            <v>2.94</v>
          </cell>
          <cell r="J30">
            <v>5.88</v>
          </cell>
          <cell r="K30">
            <v>5.89</v>
          </cell>
          <cell r="L30">
            <v>5.83</v>
          </cell>
          <cell r="M30">
            <v>6.47</v>
          </cell>
          <cell r="N30">
            <v>7.74</v>
          </cell>
          <cell r="O30">
            <v>5.62</v>
          </cell>
          <cell r="P30">
            <v>12.61</v>
          </cell>
          <cell r="Q30">
            <v>5.83</v>
          </cell>
          <cell r="R30">
            <v>8.39</v>
          </cell>
        </row>
        <row r="31">
          <cell r="D31">
            <v>262</v>
          </cell>
          <cell r="E31">
            <v>268</v>
          </cell>
          <cell r="F31">
            <v>257</v>
          </cell>
          <cell r="G31">
            <v>275</v>
          </cell>
          <cell r="H31">
            <v>287</v>
          </cell>
          <cell r="I31">
            <v>314</v>
          </cell>
          <cell r="J31">
            <v>291</v>
          </cell>
          <cell r="K31">
            <v>281</v>
          </cell>
          <cell r="L31">
            <v>278</v>
          </cell>
          <cell r="M31">
            <v>273</v>
          </cell>
          <cell r="N31">
            <v>278</v>
          </cell>
          <cell r="O31">
            <v>275</v>
          </cell>
          <cell r="P31">
            <v>255</v>
          </cell>
          <cell r="Q31">
            <v>278</v>
          </cell>
          <cell r="R31">
            <v>288</v>
          </cell>
        </row>
      </sheetData>
      <sheetData sheetId="2">
        <row r="3">
          <cell r="D3">
            <v>775</v>
          </cell>
          <cell r="F3">
            <v>782</v>
          </cell>
          <cell r="H3">
            <v>785</v>
          </cell>
          <cell r="J3">
            <v>813</v>
          </cell>
          <cell r="L3">
            <v>860</v>
          </cell>
          <cell r="N3">
            <v>879</v>
          </cell>
          <cell r="P3">
            <v>923</v>
          </cell>
          <cell r="R3">
            <v>932</v>
          </cell>
          <cell r="T3">
            <v>990</v>
          </cell>
          <cell r="V3">
            <v>1019</v>
          </cell>
          <cell r="X3">
            <v>906</v>
          </cell>
          <cell r="Z3">
            <v>897</v>
          </cell>
          <cell r="AB3">
            <v>794</v>
          </cell>
          <cell r="AD3">
            <v>872</v>
          </cell>
          <cell r="AF3">
            <v>825</v>
          </cell>
        </row>
        <row r="4">
          <cell r="D4">
            <v>775</v>
          </cell>
          <cell r="F4">
            <v>782</v>
          </cell>
          <cell r="H4">
            <v>785</v>
          </cell>
          <cell r="J4">
            <v>813</v>
          </cell>
          <cell r="L4">
            <v>860</v>
          </cell>
          <cell r="N4">
            <v>879</v>
          </cell>
          <cell r="P4">
            <v>923</v>
          </cell>
          <cell r="R4">
            <v>932</v>
          </cell>
          <cell r="T4">
            <v>990</v>
          </cell>
          <cell r="V4">
            <v>1019</v>
          </cell>
          <cell r="X4">
            <v>906</v>
          </cell>
          <cell r="Z4">
            <v>897</v>
          </cell>
          <cell r="AB4">
            <v>794</v>
          </cell>
          <cell r="AD4">
            <v>872</v>
          </cell>
          <cell r="AF4">
            <v>825</v>
          </cell>
        </row>
        <row r="5">
          <cell r="D5">
            <v>775</v>
          </cell>
          <cell r="F5">
            <v>782</v>
          </cell>
          <cell r="H5">
            <v>785</v>
          </cell>
          <cell r="J5">
            <v>813</v>
          </cell>
          <cell r="L5">
            <v>860</v>
          </cell>
          <cell r="N5">
            <v>879</v>
          </cell>
          <cell r="P5">
            <v>923</v>
          </cell>
          <cell r="R5">
            <v>932</v>
          </cell>
          <cell r="T5">
            <v>990</v>
          </cell>
          <cell r="V5">
            <v>1019</v>
          </cell>
          <cell r="X5">
            <v>906</v>
          </cell>
          <cell r="Z5">
            <v>897</v>
          </cell>
          <cell r="AB5">
            <v>794</v>
          </cell>
          <cell r="AD5">
            <v>872</v>
          </cell>
          <cell r="AF5">
            <v>825</v>
          </cell>
        </row>
        <row r="6">
          <cell r="D6">
            <v>775</v>
          </cell>
          <cell r="F6">
            <v>782</v>
          </cell>
          <cell r="H6">
            <v>785</v>
          </cell>
          <cell r="J6">
            <v>813</v>
          </cell>
          <cell r="L6">
            <v>860</v>
          </cell>
          <cell r="N6">
            <v>879</v>
          </cell>
          <cell r="P6">
            <v>923</v>
          </cell>
          <cell r="R6">
            <v>932</v>
          </cell>
          <cell r="T6">
            <v>990</v>
          </cell>
          <cell r="V6">
            <v>1019</v>
          </cell>
          <cell r="X6">
            <v>906</v>
          </cell>
          <cell r="Z6">
            <v>897</v>
          </cell>
          <cell r="AB6">
            <v>794</v>
          </cell>
          <cell r="AD6">
            <v>872</v>
          </cell>
          <cell r="AF6">
            <v>825</v>
          </cell>
        </row>
        <row r="7">
          <cell r="D7">
            <v>775</v>
          </cell>
          <cell r="F7">
            <v>782</v>
          </cell>
          <cell r="H7">
            <v>785</v>
          </cell>
          <cell r="J7">
            <v>813</v>
          </cell>
          <cell r="L7">
            <v>860</v>
          </cell>
          <cell r="N7">
            <v>879</v>
          </cell>
          <cell r="P7">
            <v>923</v>
          </cell>
          <cell r="R7">
            <v>932</v>
          </cell>
          <cell r="T7">
            <v>990</v>
          </cell>
          <cell r="V7">
            <v>1019</v>
          </cell>
          <cell r="X7">
            <v>906</v>
          </cell>
          <cell r="Z7">
            <v>897</v>
          </cell>
          <cell r="AB7">
            <v>794</v>
          </cell>
          <cell r="AD7">
            <v>872</v>
          </cell>
          <cell r="AF7">
            <v>825</v>
          </cell>
        </row>
        <row r="8">
          <cell r="D8">
            <v>775</v>
          </cell>
          <cell r="F8">
            <v>782</v>
          </cell>
          <cell r="H8">
            <v>785</v>
          </cell>
          <cell r="J8">
            <v>813</v>
          </cell>
          <cell r="L8">
            <v>860</v>
          </cell>
          <cell r="N8">
            <v>879</v>
          </cell>
          <cell r="P8">
            <v>923</v>
          </cell>
          <cell r="R8">
            <v>932</v>
          </cell>
          <cell r="T8">
            <v>990</v>
          </cell>
          <cell r="V8">
            <v>1019</v>
          </cell>
          <cell r="X8">
            <v>906</v>
          </cell>
          <cell r="Z8">
            <v>897</v>
          </cell>
          <cell r="AB8">
            <v>794</v>
          </cell>
          <cell r="AD8">
            <v>872</v>
          </cell>
          <cell r="AF8">
            <v>825</v>
          </cell>
        </row>
        <row r="9">
          <cell r="D9">
            <v>775</v>
          </cell>
          <cell r="F9">
            <v>782</v>
          </cell>
          <cell r="H9">
            <v>785</v>
          </cell>
          <cell r="J9">
            <v>813</v>
          </cell>
          <cell r="L9">
            <v>860</v>
          </cell>
          <cell r="N9">
            <v>879</v>
          </cell>
          <cell r="P9">
            <v>923</v>
          </cell>
          <cell r="R9">
            <v>932</v>
          </cell>
          <cell r="T9">
            <v>990</v>
          </cell>
          <cell r="V9">
            <v>1019</v>
          </cell>
          <cell r="X9">
            <v>906</v>
          </cell>
          <cell r="Z9">
            <v>897</v>
          </cell>
          <cell r="AB9">
            <v>794</v>
          </cell>
          <cell r="AD9">
            <v>872</v>
          </cell>
          <cell r="AF9">
            <v>825</v>
          </cell>
        </row>
        <row r="10">
          <cell r="D10">
            <v>775</v>
          </cell>
          <cell r="F10">
            <v>782</v>
          </cell>
          <cell r="H10">
            <v>785</v>
          </cell>
          <cell r="J10">
            <v>813</v>
          </cell>
          <cell r="L10">
            <v>860</v>
          </cell>
          <cell r="N10">
            <v>879</v>
          </cell>
          <cell r="P10">
            <v>923</v>
          </cell>
          <cell r="R10">
            <v>932</v>
          </cell>
          <cell r="T10">
            <v>990</v>
          </cell>
          <cell r="V10">
            <v>1019</v>
          </cell>
          <cell r="X10">
            <v>906</v>
          </cell>
          <cell r="Z10">
            <v>897</v>
          </cell>
          <cell r="AB10">
            <v>794</v>
          </cell>
          <cell r="AD10">
            <v>872</v>
          </cell>
          <cell r="AF10">
            <v>825</v>
          </cell>
        </row>
        <row r="11">
          <cell r="D11">
            <v>775</v>
          </cell>
          <cell r="F11">
            <v>782</v>
          </cell>
          <cell r="H11">
            <v>785</v>
          </cell>
          <cell r="J11">
            <v>813</v>
          </cell>
          <cell r="L11">
            <v>860</v>
          </cell>
          <cell r="N11">
            <v>879</v>
          </cell>
          <cell r="P11">
            <v>923</v>
          </cell>
          <cell r="R11">
            <v>932</v>
          </cell>
          <cell r="T11">
            <v>990</v>
          </cell>
          <cell r="V11">
            <v>1019</v>
          </cell>
          <cell r="X11">
            <v>906</v>
          </cell>
          <cell r="Z11">
            <v>897</v>
          </cell>
          <cell r="AB11">
            <v>794</v>
          </cell>
          <cell r="AD11">
            <v>872</v>
          </cell>
          <cell r="AF11">
            <v>825</v>
          </cell>
        </row>
        <row r="12">
          <cell r="D12">
            <v>775</v>
          </cell>
          <cell r="F12">
            <v>782</v>
          </cell>
          <cell r="H12">
            <v>785</v>
          </cell>
          <cell r="J12">
            <v>813</v>
          </cell>
          <cell r="L12">
            <v>860</v>
          </cell>
          <cell r="N12">
            <v>879</v>
          </cell>
          <cell r="P12">
            <v>923</v>
          </cell>
          <cell r="R12">
            <v>932</v>
          </cell>
          <cell r="T12">
            <v>990</v>
          </cell>
          <cell r="V12">
            <v>1019</v>
          </cell>
          <cell r="X12">
            <v>906</v>
          </cell>
          <cell r="Z12">
            <v>897</v>
          </cell>
          <cell r="AB12">
            <v>794</v>
          </cell>
          <cell r="AD12">
            <v>872</v>
          </cell>
          <cell r="AF12">
            <v>825</v>
          </cell>
        </row>
        <row r="13">
          <cell r="D13">
            <v>775</v>
          </cell>
          <cell r="F13">
            <v>782</v>
          </cell>
          <cell r="H13">
            <v>785</v>
          </cell>
          <cell r="J13">
            <v>813</v>
          </cell>
          <cell r="L13">
            <v>860</v>
          </cell>
          <cell r="N13">
            <v>879</v>
          </cell>
          <cell r="P13">
            <v>923</v>
          </cell>
          <cell r="R13">
            <v>932</v>
          </cell>
          <cell r="T13">
            <v>990</v>
          </cell>
          <cell r="V13">
            <v>1019</v>
          </cell>
          <cell r="X13">
            <v>906</v>
          </cell>
          <cell r="Z13">
            <v>897</v>
          </cell>
          <cell r="AB13">
            <v>794</v>
          </cell>
          <cell r="AD13">
            <v>872</v>
          </cell>
          <cell r="AF13">
            <v>825</v>
          </cell>
        </row>
        <row r="14">
          <cell r="D14">
            <v>752</v>
          </cell>
          <cell r="F14">
            <v>684</v>
          </cell>
          <cell r="H14">
            <v>694</v>
          </cell>
          <cell r="J14">
            <v>711</v>
          </cell>
          <cell r="L14">
            <v>796</v>
          </cell>
          <cell r="N14">
            <v>1006</v>
          </cell>
          <cell r="P14">
            <v>908</v>
          </cell>
          <cell r="R14">
            <v>951</v>
          </cell>
          <cell r="T14">
            <v>954</v>
          </cell>
          <cell r="V14">
            <v>702</v>
          </cell>
          <cell r="X14">
            <v>124</v>
          </cell>
          <cell r="Z14">
            <v>769</v>
          </cell>
          <cell r="AB14">
            <v>962</v>
          </cell>
          <cell r="AD14">
            <v>986</v>
          </cell>
          <cell r="AF14">
            <v>1006</v>
          </cell>
        </row>
        <row r="15">
          <cell r="D15">
            <v>752</v>
          </cell>
          <cell r="F15">
            <v>684</v>
          </cell>
          <cell r="H15">
            <v>694</v>
          </cell>
          <cell r="J15">
            <v>711</v>
          </cell>
          <cell r="L15">
            <v>796</v>
          </cell>
          <cell r="N15">
            <v>1006</v>
          </cell>
          <cell r="P15">
            <v>908</v>
          </cell>
          <cell r="R15">
            <v>951</v>
          </cell>
          <cell r="T15">
            <v>954</v>
          </cell>
          <cell r="V15">
            <v>702</v>
          </cell>
          <cell r="X15">
            <v>124</v>
          </cell>
          <cell r="Z15">
            <v>769</v>
          </cell>
          <cell r="AB15">
            <v>962</v>
          </cell>
          <cell r="AD15">
            <v>986</v>
          </cell>
          <cell r="AF15">
            <v>1006</v>
          </cell>
        </row>
        <row r="16">
          <cell r="D16">
            <v>752</v>
          </cell>
          <cell r="F16">
            <v>684</v>
          </cell>
          <cell r="H16">
            <v>694</v>
          </cell>
          <cell r="J16">
            <v>711</v>
          </cell>
          <cell r="L16">
            <v>796</v>
          </cell>
          <cell r="N16">
            <v>1006</v>
          </cell>
          <cell r="P16">
            <v>908</v>
          </cell>
          <cell r="R16">
            <v>951</v>
          </cell>
          <cell r="T16">
            <v>954</v>
          </cell>
          <cell r="V16">
            <v>702</v>
          </cell>
          <cell r="X16">
            <v>124</v>
          </cell>
          <cell r="Z16">
            <v>769</v>
          </cell>
          <cell r="AB16">
            <v>962</v>
          </cell>
          <cell r="AD16">
            <v>986</v>
          </cell>
          <cell r="AF16">
            <v>1006</v>
          </cell>
        </row>
        <row r="17">
          <cell r="D17">
            <v>752</v>
          </cell>
          <cell r="F17">
            <v>684</v>
          </cell>
          <cell r="H17">
            <v>694</v>
          </cell>
          <cell r="J17">
            <v>711</v>
          </cell>
          <cell r="L17">
            <v>796</v>
          </cell>
          <cell r="N17">
            <v>1006</v>
          </cell>
          <cell r="P17">
            <v>908</v>
          </cell>
          <cell r="R17">
            <v>951</v>
          </cell>
          <cell r="T17">
            <v>954</v>
          </cell>
          <cell r="V17">
            <v>702</v>
          </cell>
          <cell r="X17">
            <v>124</v>
          </cell>
          <cell r="Z17">
            <v>769</v>
          </cell>
          <cell r="AB17">
            <v>962</v>
          </cell>
          <cell r="AD17">
            <v>986</v>
          </cell>
          <cell r="AF17">
            <v>1006</v>
          </cell>
        </row>
        <row r="18">
          <cell r="D18">
            <v>752</v>
          </cell>
          <cell r="F18">
            <v>684</v>
          </cell>
          <cell r="H18">
            <v>694</v>
          </cell>
          <cell r="J18">
            <v>711</v>
          </cell>
          <cell r="L18">
            <v>796</v>
          </cell>
          <cell r="N18">
            <v>1006</v>
          </cell>
          <cell r="P18">
            <v>908</v>
          </cell>
          <cell r="R18">
            <v>951</v>
          </cell>
          <cell r="T18">
            <v>954</v>
          </cell>
          <cell r="V18">
            <v>702</v>
          </cell>
          <cell r="X18">
            <v>124</v>
          </cell>
          <cell r="Z18">
            <v>769</v>
          </cell>
          <cell r="AB18">
            <v>962</v>
          </cell>
          <cell r="AD18">
            <v>986</v>
          </cell>
          <cell r="AF18">
            <v>1006</v>
          </cell>
        </row>
        <row r="19">
          <cell r="D19">
            <v>752</v>
          </cell>
          <cell r="F19">
            <v>684</v>
          </cell>
          <cell r="H19">
            <v>694</v>
          </cell>
          <cell r="J19">
            <v>711</v>
          </cell>
          <cell r="L19">
            <v>796</v>
          </cell>
          <cell r="N19">
            <v>1006</v>
          </cell>
          <cell r="P19">
            <v>908</v>
          </cell>
          <cell r="R19">
            <v>951</v>
          </cell>
          <cell r="T19">
            <v>954</v>
          </cell>
          <cell r="V19">
            <v>702</v>
          </cell>
          <cell r="X19">
            <v>124</v>
          </cell>
          <cell r="Z19">
            <v>769</v>
          </cell>
          <cell r="AB19">
            <v>962</v>
          </cell>
          <cell r="AD19">
            <v>986</v>
          </cell>
          <cell r="AF19">
            <v>1006</v>
          </cell>
        </row>
        <row r="20">
          <cell r="D20">
            <v>752</v>
          </cell>
          <cell r="F20">
            <v>684</v>
          </cell>
          <cell r="H20">
            <v>694</v>
          </cell>
          <cell r="J20">
            <v>711</v>
          </cell>
          <cell r="L20">
            <v>796</v>
          </cell>
          <cell r="N20">
            <v>1006</v>
          </cell>
          <cell r="P20">
            <v>908</v>
          </cell>
          <cell r="R20">
            <v>951</v>
          </cell>
          <cell r="T20">
            <v>954</v>
          </cell>
          <cell r="V20">
            <v>702</v>
          </cell>
          <cell r="X20">
            <v>124</v>
          </cell>
          <cell r="Z20">
            <v>769</v>
          </cell>
          <cell r="AB20">
            <v>962</v>
          </cell>
          <cell r="AD20">
            <v>986</v>
          </cell>
          <cell r="AF20">
            <v>1006</v>
          </cell>
        </row>
        <row r="21">
          <cell r="D21">
            <v>752</v>
          </cell>
          <cell r="F21">
            <v>684</v>
          </cell>
          <cell r="H21">
            <v>694</v>
          </cell>
          <cell r="J21">
            <v>711</v>
          </cell>
          <cell r="L21">
            <v>796</v>
          </cell>
          <cell r="N21">
            <v>1006</v>
          </cell>
          <cell r="P21">
            <v>908</v>
          </cell>
          <cell r="R21">
            <v>951</v>
          </cell>
          <cell r="T21">
            <v>954</v>
          </cell>
          <cell r="V21">
            <v>702</v>
          </cell>
          <cell r="X21">
            <v>124</v>
          </cell>
          <cell r="Z21">
            <v>769</v>
          </cell>
          <cell r="AB21">
            <v>962</v>
          </cell>
          <cell r="AD21">
            <v>986</v>
          </cell>
          <cell r="AF21">
            <v>1006</v>
          </cell>
        </row>
        <row r="22">
          <cell r="D22">
            <v>752</v>
          </cell>
          <cell r="F22">
            <v>684</v>
          </cell>
          <cell r="H22">
            <v>694</v>
          </cell>
          <cell r="J22">
            <v>711</v>
          </cell>
          <cell r="L22">
            <v>796</v>
          </cell>
          <cell r="N22">
            <v>1006</v>
          </cell>
          <cell r="P22">
            <v>908</v>
          </cell>
          <cell r="R22">
            <v>951</v>
          </cell>
          <cell r="T22">
            <v>954</v>
          </cell>
          <cell r="V22">
            <v>702</v>
          </cell>
          <cell r="X22">
            <v>124</v>
          </cell>
          <cell r="Z22">
            <v>769</v>
          </cell>
          <cell r="AB22">
            <v>962</v>
          </cell>
          <cell r="AD22">
            <v>986</v>
          </cell>
          <cell r="AF22">
            <v>1006</v>
          </cell>
        </row>
        <row r="23">
          <cell r="D23">
            <v>752</v>
          </cell>
          <cell r="F23">
            <v>684</v>
          </cell>
          <cell r="H23">
            <v>694</v>
          </cell>
          <cell r="J23">
            <v>711</v>
          </cell>
          <cell r="L23">
            <v>796</v>
          </cell>
          <cell r="N23">
            <v>1006</v>
          </cell>
          <cell r="P23">
            <v>908</v>
          </cell>
          <cell r="R23">
            <v>951</v>
          </cell>
          <cell r="T23">
            <v>954</v>
          </cell>
          <cell r="V23">
            <v>702</v>
          </cell>
          <cell r="X23">
            <v>124</v>
          </cell>
          <cell r="Z23">
            <v>769</v>
          </cell>
          <cell r="AB23">
            <v>962</v>
          </cell>
          <cell r="AD23">
            <v>986</v>
          </cell>
          <cell r="AF23">
            <v>1006</v>
          </cell>
        </row>
      </sheetData>
      <sheetData sheetId="3"/>
      <sheetData sheetId="4"/>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65.807992708331" backgroundQuery="1" createdVersion="3" refreshedVersion="8" minRefreshableVersion="3" recordCount="0" supportSubquery="1" supportAdvancedDrill="1" xr:uid="{DAA14A90-6B4D-42E4-878A-4C4891C5F282}">
  <cacheSource type="external" connectionId="10">
    <extLst>
      <ext xmlns:x14="http://schemas.microsoft.com/office/spreadsheetml/2009/9/main" uri="{F057638F-6D5F-4e77-A914-E7F072B9BCA8}">
        <x14:sourceConnection name="ThisWorkbookDataModel"/>
      </ext>
    </extLst>
  </cacheSource>
  <cacheFields count="0"/>
  <cacheHierarchies count="37">
    <cacheHierarchy uniqueName="[Alarm  3].[Plant]" caption="Plant" attribute="1" defaultMemberUniqueName="[Alarm  3].[Plant].[All]" allUniqueName="[Alarm  3].[Plant].[All]" dimensionUniqueName="[Alarm  3]" displayFolder="" count="0" memberValueDatatype="130" unbalanced="0"/>
    <cacheHierarchy uniqueName="[Alarm  3].[KPI]" caption="KPI" attribute="1" defaultMemberUniqueName="[Alarm  3].[KPI].[All]" allUniqueName="[Alarm  3].[KPI].[All]" dimensionUniqueName="[Alarm  3]" displayFolder="" count="0" memberValueDatatype="130" unbalanced="0"/>
    <cacheHierarchy uniqueName="[Alarm  3].[Date]" caption="Date" attribute="1" time="1" defaultMemberUniqueName="[Alarm  3].[Date].[All]" allUniqueName="[Alarm  3].[Date].[All]" dimensionUniqueName="[Alarm  3]" displayFolder="" count="0" memberValueDatatype="7" unbalanced="0"/>
    <cacheHierarchy uniqueName="[Alarm  3].[Amount]" caption="Amount" attribute="1" defaultMemberUniqueName="[Alarm  3].[Amount].[All]" allUniqueName="[Alarm  3].[Amount].[All]" dimensionUniqueName="[Alarm  3]" displayFolder="" count="0" memberValueDatatype="5" unbalanced="0"/>
    <cacheHierarchy uniqueName="[Date].[Dates]" caption="Dates" attribute="1" time="1" defaultMemberUniqueName="[Date].[Dates].[All]" allUniqueName="[Date].[Dates].[All]" dimensionUniqueName="[Date]" displayFolder="" count="2" memberValueDatatype="7" unbalanced="0"/>
    <cacheHierarchy uniqueName="[planet].[planet]" caption="planet" attribute="1" defaultMemberUniqueName="[planet].[planet].[All]" allUniqueName="[planet].[planet].[All]" dimensionUniqueName="[planet]" displayFolder="" count="2" memberValueDatatype="130" unbalanced="0"/>
    <cacheHierarchy uniqueName="[Production  3].[Plant]" caption="Plant" attribute="1" defaultMemberUniqueName="[Production  3].[Plant].[All]" allUniqueName="[Production  3].[Plant].[All]" dimensionUniqueName="[Production  3]" displayFolder="" count="0" memberValueDatatype="130" unbalanced="0"/>
    <cacheHierarchy uniqueName="[Production  3].[Metric]" caption="Metric" attribute="1" defaultMemberUniqueName="[Production  3].[Metric].[All]" allUniqueName="[Production  3].[Metric].[All]" dimensionUniqueName="[Production  3]" displayFolder="" count="0" memberValueDatatype="130" unbalanced="0"/>
    <cacheHierarchy uniqueName="[Production  3].[Units]" caption="Units" attribute="1" defaultMemberUniqueName="[Production  3].[Units].[All]" allUniqueName="[Production  3].[Units].[All]" dimensionUniqueName="[Production  3]" displayFolder="" count="0" memberValueDatatype="130" unbalanced="0"/>
    <cacheHierarchy uniqueName="[Production  3].[Date]" caption="Date" attribute="1" time="1" defaultMemberUniqueName="[Production  3].[Date].[All]" allUniqueName="[Production  3].[Date].[All]" dimensionUniqueName="[Production  3]" displayFolder="" count="0" memberValueDatatype="7" unbalanced="0"/>
    <cacheHierarchy uniqueName="[Production  3].[Amount]" caption="Amount" attribute="1" defaultMemberUniqueName="[Production  3].[Amount].[All]" allUniqueName="[Production  3].[Amount].[All]" dimensionUniqueName="[Production  3]" displayFolder="" count="0" memberValueDatatype="5" unbalanced="0"/>
    <cacheHierarchy uniqueName="[specific  3].[Plant]" caption="Plant" attribute="1" defaultMemberUniqueName="[specific  3].[Plant].[All]" allUniqueName="[specific  3].[Plant].[All]" dimensionUniqueName="[specific  3]" displayFolder="" count="0" memberValueDatatype="130" unbalanced="0"/>
    <cacheHierarchy uniqueName="[specific  3].[Utility Name]" caption="Utility Name" attribute="1" defaultMemberUniqueName="[specific  3].[Utility Name].[All]" allUniqueName="[specific  3].[Utility Name].[All]" dimensionUniqueName="[specific  3]" displayFolder="" count="0" memberValueDatatype="130" unbalanced="0"/>
    <cacheHierarchy uniqueName="[specific  3].[Specific Consumption Unit]" caption="Specific Consumption Unit" attribute="1" defaultMemberUniqueName="[specific  3].[Specific Consumption Unit].[All]" allUniqueName="[specific  3].[Specific Consumption Unit].[All]" dimensionUniqueName="[specific  3]" displayFolder="" count="0" memberValueDatatype="130" unbalanced="0"/>
    <cacheHierarchy uniqueName="[specific  3].[Date]" caption="Date" attribute="1" time="1" defaultMemberUniqueName="[specific  3].[Date].[All]" allUniqueName="[specific  3].[Date].[All]" dimensionUniqueName="[specific  3]" displayFolder="" count="0" memberValueDatatype="7" unbalanced="0"/>
    <cacheHierarchy uniqueName="[specific  3].[Production(MT)]" caption="Production(MT)" attribute="1" defaultMemberUniqueName="[specific  3].[Production(MT)].[All]" allUniqueName="[specific  3].[Production(MT)].[All]" dimensionUniqueName="[specific  3]" displayFolder="" count="0" memberValueDatatype="5" unbalanced="0"/>
    <cacheHierarchy uniqueName="[specific  3].[Specific Consumption]" caption="Specific Consumption" attribute="1" defaultMemberUniqueName="[specific  3].[Specific Consumption].[All]" allUniqueName="[specific  3].[Specific Consumption].[All]" dimensionUniqueName="[specific  3]" displayFolder="" count="0" memberValueDatatype="5" unbalanced="0"/>
    <cacheHierarchy uniqueName="[utility].[utility name]" caption="utility name" attribute="1" defaultMemberUniqueName="[utility].[utility name].[All]" allUniqueName="[utility].[utility name].[All]" dimensionUniqueName="[utility]" displayFolder="" count="2" memberValueDatatype="130" unbalanced="0"/>
    <cacheHierarchy uniqueName="[Utility  3].[Plant]" caption="Plant" attribute="1" defaultMemberUniqueName="[Utility  3].[Plant].[All]" allUniqueName="[Utility  3].[Plant].[All]" dimensionUniqueName="[Utility  3]" displayFolder="" count="0" memberValueDatatype="130" unbalanced="0"/>
    <cacheHierarchy uniqueName="[Utility  3].[Utility]" caption="Utility" attribute="1" defaultMemberUniqueName="[Utility  3].[Utility].[All]" allUniqueName="[Utility  3].[Utility].[All]" dimensionUniqueName="[Utility  3]" displayFolder="" count="0" memberValueDatatype="130" unbalanced="0"/>
    <cacheHierarchy uniqueName="[Utility  3].[Units]" caption="Units" attribute="1" defaultMemberUniqueName="[Utility  3].[Units].[All]" allUniqueName="[Utility  3].[Units].[All]" dimensionUniqueName="[Utility  3]" displayFolder="" count="0" memberValueDatatype="130" unbalanced="0"/>
    <cacheHierarchy uniqueName="[Utility  3].[Date]" caption="Date" attribute="1" time="1" defaultMemberUniqueName="[Utility  3].[Date].[All]" allUniqueName="[Utility  3].[Date].[All]" dimensionUniqueName="[Utility  3]" displayFolder="" count="0" memberValueDatatype="7" unbalanced="0"/>
    <cacheHierarchy uniqueName="[Utility  3].[Amount]" caption="Amount" attribute="1" defaultMemberUniqueName="[Utility  3].[Amount].[All]" allUniqueName="[Utility  3].[Amount].[All]" dimensionUniqueName="[Utility  3]" displayFolder="" count="0" memberValueDatatype="5" unbalanced="0"/>
    <cacheHierarchy uniqueName="[Measures].[__XL_Count Utility  3]" caption="__XL_Count Utility  3" measure="1" displayFolder="" measureGroup="Utility  3" count="0" hidden="1"/>
    <cacheHierarchy uniqueName="[Measures].[__XL_Count Production  3]" caption="__XL_Count Production  3" measure="1" displayFolder="" measureGroup="Production  3" count="0" hidden="1"/>
    <cacheHierarchy uniqueName="[Measures].[__XL_Count specific  3]" caption="__XL_Count specific  3" measure="1" displayFolder="" measureGroup="specific  3" count="0" hidden="1"/>
    <cacheHierarchy uniqueName="[Measures].[__XL_Count Alarm  3]" caption="__XL_Count Alarm  3" measure="1" displayFolder="" measureGroup="Alarm  3" count="0" hidden="1"/>
    <cacheHierarchy uniqueName="[Measures].[__XL_Count Table7]" caption="__XL_Count Table7" measure="1" displayFolder="" measureGroup="Date" count="0" hidden="1"/>
    <cacheHierarchy uniqueName="[Measures].[__XL_Count planet]" caption="__XL_Count planet" measure="1" displayFolder="" measureGroup="planet" count="0" hidden="1"/>
    <cacheHierarchy uniqueName="[Measures].[__XL_Count utility]" caption="__XL_Count utility" measure="1" displayFolder="" measureGroup="utility" count="0" hidden="1"/>
    <cacheHierarchy uniqueName="[Measures].[__No measures defined]" caption="__No measures defined" measure="1" displayFolder="" count="0" hidden="1"/>
    <cacheHierarchy uniqueName="[Measures].[Sum of Amount]" caption="Sum of Amount" measure="1" displayFolder="" measureGroup="Production  3"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Alarm  3" count="0" hidden="1">
      <extLst>
        <ext xmlns:x15="http://schemas.microsoft.com/office/spreadsheetml/2010/11/main" uri="{B97F6D7D-B522-45F9-BDA1-12C45D357490}">
          <x15:cacheHierarchy aggregatedColumn="3"/>
        </ext>
      </extLst>
    </cacheHierarchy>
    <cacheHierarchy uniqueName="[Measures].[Count of KPI]" caption="Count of KPI" measure="1" displayFolder="" measureGroup="Alarm  3" count="0" hidden="1">
      <extLst>
        <ext xmlns:x15="http://schemas.microsoft.com/office/spreadsheetml/2010/11/main" uri="{B97F6D7D-B522-45F9-BDA1-12C45D357490}">
          <x15:cacheHierarchy aggregatedColumn="1"/>
        </ext>
      </extLst>
    </cacheHierarchy>
    <cacheHierarchy uniqueName="[Measures].[Sum of Amount 3]" caption="Sum of Amount 3" measure="1" displayFolder="" measureGroup="Utility  3" count="0" hidden="1">
      <extLst>
        <ext xmlns:x15="http://schemas.microsoft.com/office/spreadsheetml/2010/11/main" uri="{B97F6D7D-B522-45F9-BDA1-12C45D357490}">
          <x15:cacheHierarchy aggregatedColumn="22"/>
        </ext>
      </extLst>
    </cacheHierarchy>
    <cacheHierarchy uniqueName="[Measures].[Count of Production(MT)]" caption="Count of Production(MT)" measure="1" displayFolder="" measureGroup="specific  3" count="0" hidden="1">
      <extLst>
        <ext xmlns:x15="http://schemas.microsoft.com/office/spreadsheetml/2010/11/main" uri="{B97F6D7D-B522-45F9-BDA1-12C45D357490}">
          <x15:cacheHierarchy aggregatedColumn="15"/>
        </ext>
      </extLst>
    </cacheHierarchy>
    <cacheHierarchy uniqueName="[Measures].[Count of Specific Consumption]" caption="Count of Specific Consumption" measure="1" displayFolder="" measureGroup="specific  3"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984018668"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65.826291550926" backgroundQuery="1" createdVersion="8" refreshedVersion="8" minRefreshableVersion="3" recordCount="0" supportSubquery="1" supportAdvancedDrill="1" xr:uid="{21CD15B6-489B-48C6-AD07-0340D9F472A2}">
  <cacheSource type="external" connectionId="10">
    <extLst>
      <ext xmlns:x14="http://schemas.microsoft.com/office/spreadsheetml/2009/9/main" uri="{F057638F-6D5F-4e77-A914-E7F072B9BCA8}">
        <x14:sourceConnection name="ThisWorkbookDataModel"/>
      </ext>
    </extLst>
  </cacheSource>
  <cacheFields count="3">
    <cacheField name="[Production  3].[Plant].[Plant]" caption="Plant" numFmtId="0" hierarchy="6" level="1">
      <sharedItems count="3">
        <s v="HDPE"/>
        <s v="LLDPE"/>
        <s v="PP"/>
      </sharedItems>
    </cacheField>
    <cacheField name="[Measures].[Sum of Amount]" caption="Sum of Amount" numFmtId="0" hierarchy="31" level="32767"/>
    <cacheField name="[Date].[Dates].[Dates]" caption="Dates" numFmtId="0" hierarchy="4" level="1">
      <sharedItems containsSemiMixedTypes="0" containsNonDate="0" containsString="0"/>
    </cacheField>
  </cacheFields>
  <cacheHierarchies count="39">
    <cacheHierarchy uniqueName="[Alarm  3].[Plant]" caption="Plant" attribute="1" defaultMemberUniqueName="[Alarm  3].[Plant].[All]" allUniqueName="[Alarm  3].[Plant].[All]" dimensionUniqueName="[Alarm  3]" displayFolder="" count="0" memberValueDatatype="130" unbalanced="0"/>
    <cacheHierarchy uniqueName="[Alarm  3].[KPI]" caption="KPI" attribute="1" defaultMemberUniqueName="[Alarm  3].[KPI].[All]" allUniqueName="[Alarm  3].[KPI].[All]" dimensionUniqueName="[Alarm  3]" displayFolder="" count="0" memberValueDatatype="130" unbalanced="0"/>
    <cacheHierarchy uniqueName="[Alarm  3].[Date]" caption="Date" attribute="1" time="1" defaultMemberUniqueName="[Alarm  3].[Date].[All]" allUniqueName="[Alarm  3].[Date].[All]" dimensionUniqueName="[Alarm  3]" displayFolder="" count="0" memberValueDatatype="7" unbalanced="0"/>
    <cacheHierarchy uniqueName="[Alarm  3].[Amount]" caption="Amount" attribute="1" defaultMemberUniqueName="[Alarm  3].[Amount].[All]" allUniqueName="[Alarm  3].[Amount].[All]" dimensionUniqueName="[Alarm  3]" displayFolder="" count="0" memberValueDatatype="5" unbalanced="0"/>
    <cacheHierarchy uniqueName="[Date].[Dates]" caption="Dates" attribute="1" time="1" defaultMemberUniqueName="[Date].[Dates].[All]" allUniqueName="[Date].[Dates].[All]" dimensionUniqueName="[Date]" displayFolder="" count="2" memberValueDatatype="7" unbalanced="0">
      <fieldsUsage count="2">
        <fieldUsage x="-1"/>
        <fieldUsage x="2"/>
      </fieldsUsage>
    </cacheHierarchy>
    <cacheHierarchy uniqueName="[planet].[planet]" caption="planet" attribute="1" defaultMemberUniqueName="[planet].[planet].[All]" allUniqueName="[planet].[planet].[All]" dimensionUniqueName="[planet]" displayFolder="" count="2" memberValueDatatype="130" unbalanced="0"/>
    <cacheHierarchy uniqueName="[Production  3].[Plant]" caption="Plant" attribute="1" defaultMemberUniqueName="[Production  3].[Plant].[All]" allUniqueName="[Production  3].[Plant].[All]" dimensionUniqueName="[Production  3]" displayFolder="" count="2" memberValueDatatype="130" unbalanced="0">
      <fieldsUsage count="2">
        <fieldUsage x="-1"/>
        <fieldUsage x="0"/>
      </fieldsUsage>
    </cacheHierarchy>
    <cacheHierarchy uniqueName="[Production  3].[Metric]" caption="Metric" attribute="1" defaultMemberUniqueName="[Production  3].[Metric].[All]" allUniqueName="[Production  3].[Metric].[All]" dimensionUniqueName="[Production  3]" displayFolder="" count="0" memberValueDatatype="130" unbalanced="0"/>
    <cacheHierarchy uniqueName="[Production  3].[Units]" caption="Units" attribute="1" defaultMemberUniqueName="[Production  3].[Units].[All]" allUniqueName="[Production  3].[Units].[All]" dimensionUniqueName="[Production  3]" displayFolder="" count="0" memberValueDatatype="130" unbalanced="0"/>
    <cacheHierarchy uniqueName="[Production  3].[Date]" caption="Date" attribute="1" time="1" defaultMemberUniqueName="[Production  3].[Date].[All]" allUniqueName="[Production  3].[Date].[All]" dimensionUniqueName="[Production  3]" displayFolder="" count="0" memberValueDatatype="7" unbalanced="0"/>
    <cacheHierarchy uniqueName="[Production  3].[Amount]" caption="Amount" attribute="1" defaultMemberUniqueName="[Production  3].[Amount].[All]" allUniqueName="[Production  3].[Amount].[All]" dimensionUniqueName="[Production  3]" displayFolder="" count="0" memberValueDatatype="5" unbalanced="0"/>
    <cacheHierarchy uniqueName="[specific  3].[Plant]" caption="Plant" attribute="1" defaultMemberUniqueName="[specific  3].[Plant].[All]" allUniqueName="[specific  3].[Plant].[All]" dimensionUniqueName="[specific  3]" displayFolder="" count="0" memberValueDatatype="130" unbalanced="0"/>
    <cacheHierarchy uniqueName="[specific  3].[Utility Name]" caption="Utility Name" attribute="1" defaultMemberUniqueName="[specific  3].[Utility Name].[All]" allUniqueName="[specific  3].[Utility Name].[All]" dimensionUniqueName="[specific  3]" displayFolder="" count="0" memberValueDatatype="130" unbalanced="0"/>
    <cacheHierarchy uniqueName="[specific  3].[Specific Consumption Unit]" caption="Specific Consumption Unit" attribute="1" defaultMemberUniqueName="[specific  3].[Specific Consumption Unit].[All]" allUniqueName="[specific  3].[Specific Consumption Unit].[All]" dimensionUniqueName="[specific  3]" displayFolder="" count="0" memberValueDatatype="130" unbalanced="0"/>
    <cacheHierarchy uniqueName="[specific  3].[Date]" caption="Date" attribute="1" time="1" defaultMemberUniqueName="[specific  3].[Date].[All]" allUniqueName="[specific  3].[Date].[All]" dimensionUniqueName="[specific  3]" displayFolder="" count="0" memberValueDatatype="7" unbalanced="0"/>
    <cacheHierarchy uniqueName="[specific  3].[Production(MT)]" caption="Production(MT)" attribute="1" defaultMemberUniqueName="[specific  3].[Production(MT)].[All]" allUniqueName="[specific  3].[Production(MT)].[All]" dimensionUniqueName="[specific  3]" displayFolder="" count="0" memberValueDatatype="5" unbalanced="0"/>
    <cacheHierarchy uniqueName="[specific  3].[Specific Consumption]" caption="Specific Consumption" attribute="1" defaultMemberUniqueName="[specific  3].[Specific Consumption].[All]" allUniqueName="[specific  3].[Specific Consumption].[All]" dimensionUniqueName="[specific  3]" displayFolder="" count="0" memberValueDatatype="5" unbalanced="0"/>
    <cacheHierarchy uniqueName="[utility].[utility name]" caption="utility name" attribute="1" defaultMemberUniqueName="[utility].[utility name].[All]" allUniqueName="[utility].[utility name].[All]" dimensionUniqueName="[utility]" displayFolder="" count="2" memberValueDatatype="130" unbalanced="0"/>
    <cacheHierarchy uniqueName="[Utility  3].[Plant]" caption="Plant" attribute="1" defaultMemberUniqueName="[Utility  3].[Plant].[All]" allUniqueName="[Utility  3].[Plant].[All]" dimensionUniqueName="[Utility  3]" displayFolder="" count="0" memberValueDatatype="130" unbalanced="0"/>
    <cacheHierarchy uniqueName="[Utility  3].[Utility]" caption="Utility" attribute="1" defaultMemberUniqueName="[Utility  3].[Utility].[All]" allUniqueName="[Utility  3].[Utility].[All]" dimensionUniqueName="[Utility  3]" displayFolder="" count="0" memberValueDatatype="130" unbalanced="0"/>
    <cacheHierarchy uniqueName="[Utility  3].[Units]" caption="Units" attribute="1" defaultMemberUniqueName="[Utility  3].[Units].[All]" allUniqueName="[Utility  3].[Units].[All]" dimensionUniqueName="[Utility  3]" displayFolder="" count="0" memberValueDatatype="130" unbalanced="0"/>
    <cacheHierarchy uniqueName="[Utility  3].[Date]" caption="Date" attribute="1" time="1" defaultMemberUniqueName="[Utility  3].[Date].[All]" allUniqueName="[Utility  3].[Date].[All]" dimensionUniqueName="[Utility  3]" displayFolder="" count="0" memberValueDatatype="7" unbalanced="0"/>
    <cacheHierarchy uniqueName="[Utility  3].[Amount]" caption="Amount" attribute="1" defaultMemberUniqueName="[Utility  3].[Amount].[All]" allUniqueName="[Utility  3].[Amount].[All]" dimensionUniqueName="[Utility  3]" displayFolder="" count="0" memberValueDatatype="5" unbalanced="0"/>
    <cacheHierarchy uniqueName="[Measures].[__XL_Count Utility  3]" caption="__XL_Count Utility  3" measure="1" displayFolder="" measureGroup="Utility  3" count="0" hidden="1"/>
    <cacheHierarchy uniqueName="[Measures].[__XL_Count Production  3]" caption="__XL_Count Production  3" measure="1" displayFolder="" measureGroup="Production  3" count="0" hidden="1"/>
    <cacheHierarchy uniqueName="[Measures].[__XL_Count specific  3]" caption="__XL_Count specific  3" measure="1" displayFolder="" measureGroup="specific  3" count="0" hidden="1"/>
    <cacheHierarchy uniqueName="[Measures].[__XL_Count Alarm  3]" caption="__XL_Count Alarm  3" measure="1" displayFolder="" measureGroup="Alarm  3" count="0" hidden="1"/>
    <cacheHierarchy uniqueName="[Measures].[__XL_Count Table7]" caption="__XL_Count Table7" measure="1" displayFolder="" measureGroup="Date" count="0" hidden="1"/>
    <cacheHierarchy uniqueName="[Measures].[__XL_Count planet]" caption="__XL_Count planet" measure="1" displayFolder="" measureGroup="planet" count="0" hidden="1"/>
    <cacheHierarchy uniqueName="[Measures].[__XL_Count utility]" caption="__XL_Count utility" measure="1" displayFolder="" measureGroup="utility" count="0" hidden="1"/>
    <cacheHierarchy uniqueName="[Measures].[__No measures defined]" caption="__No measures defined" measure="1" displayFolder="" count="0" hidden="1"/>
    <cacheHierarchy uniqueName="[Measures].[Sum of Amount]" caption="Sum of Amount" measure="1" displayFolder="" measureGroup="Production  3"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mount 2]" caption="Sum of Amount 2" measure="1" displayFolder="" measureGroup="Alarm  3" count="0" hidden="1">
      <extLst>
        <ext xmlns:x15="http://schemas.microsoft.com/office/spreadsheetml/2010/11/main" uri="{B97F6D7D-B522-45F9-BDA1-12C45D357490}">
          <x15:cacheHierarchy aggregatedColumn="3"/>
        </ext>
      </extLst>
    </cacheHierarchy>
    <cacheHierarchy uniqueName="[Measures].[Count of KPI]" caption="Count of KPI" measure="1" displayFolder="" measureGroup="Alarm  3" count="0" hidden="1">
      <extLst>
        <ext xmlns:x15="http://schemas.microsoft.com/office/spreadsheetml/2010/11/main" uri="{B97F6D7D-B522-45F9-BDA1-12C45D357490}">
          <x15:cacheHierarchy aggregatedColumn="1"/>
        </ext>
      </extLst>
    </cacheHierarchy>
    <cacheHierarchy uniqueName="[Measures].[Sum of Amount 3]" caption="Sum of Amount 3" measure="1" displayFolder="" measureGroup="Utility  3" count="0" hidden="1">
      <extLst>
        <ext xmlns:x15="http://schemas.microsoft.com/office/spreadsheetml/2010/11/main" uri="{B97F6D7D-B522-45F9-BDA1-12C45D357490}">
          <x15:cacheHierarchy aggregatedColumn="22"/>
        </ext>
      </extLst>
    </cacheHierarchy>
    <cacheHierarchy uniqueName="[Measures].[Count of Production(MT)]" caption="Count of Production(MT)" measure="1" displayFolder="" measureGroup="specific  3" count="0" hidden="1">
      <extLst>
        <ext xmlns:x15="http://schemas.microsoft.com/office/spreadsheetml/2010/11/main" uri="{B97F6D7D-B522-45F9-BDA1-12C45D357490}">
          <x15:cacheHierarchy aggregatedColumn="15"/>
        </ext>
      </extLst>
    </cacheHierarchy>
    <cacheHierarchy uniqueName="[Measures].[Count of Specific Consumption]" caption="Count of Specific Consumption" measure="1" displayFolder="" measureGroup="specific  3" count="0" hidden="1">
      <extLst>
        <ext xmlns:x15="http://schemas.microsoft.com/office/spreadsheetml/2010/11/main" uri="{B97F6D7D-B522-45F9-BDA1-12C45D357490}">
          <x15:cacheHierarchy aggregatedColumn="16"/>
        </ext>
      </extLst>
    </cacheHierarchy>
    <cacheHierarchy uniqueName="[Measures].[Sum of Production(MT)]" caption="Sum of Production(MT)" measure="1" displayFolder="" measureGroup="specific  3" count="0" hidden="1">
      <extLst>
        <ext xmlns:x15="http://schemas.microsoft.com/office/spreadsheetml/2010/11/main" uri="{B97F6D7D-B522-45F9-BDA1-12C45D357490}">
          <x15:cacheHierarchy aggregatedColumn="15"/>
        </ext>
      </extLst>
    </cacheHierarchy>
    <cacheHierarchy uniqueName="[Measures].[Sum of Specific Consumption]" caption="Sum of Specific Consumption" measure="1" displayFolder="" measureGroup="specific  3" count="0" hidden="1">
      <extLst>
        <ext xmlns:x15="http://schemas.microsoft.com/office/spreadsheetml/2010/11/main" uri="{B97F6D7D-B522-45F9-BDA1-12C45D357490}">
          <x15:cacheHierarchy aggregatedColumn="16"/>
        </ext>
      </extLst>
    </cacheHierarchy>
  </cacheHierarchies>
  <kpis count="0"/>
  <dimensions count="8">
    <dimension name="Alarm  3" uniqueName="[Alarm  3]" caption="Alarm  3"/>
    <dimension name="Date" uniqueName="[Date]" caption="Date"/>
    <dimension measure="1" name="Measures" uniqueName="[Measures]" caption="Measures"/>
    <dimension name="planet" uniqueName="[planet]" caption="planet"/>
    <dimension name="Production  3" uniqueName="[Production  3]" caption="Production  3"/>
    <dimension name="specific  3" uniqueName="[specific  3]" caption="specific  3"/>
    <dimension name="utility" uniqueName="[utility]" caption="utility"/>
    <dimension name="Utility  3" uniqueName="[Utility  3]" caption="Utility  3"/>
  </dimensions>
  <measureGroups count="7">
    <measureGroup name="Alarm  3" caption="Alarm  3"/>
    <measureGroup name="Date" caption="Date"/>
    <measureGroup name="planet" caption="planet"/>
    <measureGroup name="Production  3" caption="Production  3"/>
    <measureGroup name="specific  3" caption="specific  3"/>
    <measureGroup name="utility" caption="utility"/>
    <measureGroup name="Utility  3" caption="Utility  3"/>
  </measureGroups>
  <maps count="17">
    <map measureGroup="0" dimension="0"/>
    <map measureGroup="0" dimension="1"/>
    <map measureGroup="0" dimension="3"/>
    <map measureGroup="1" dimension="1"/>
    <map measureGroup="2" dimension="3"/>
    <map measureGroup="3" dimension="1"/>
    <map measureGroup="3" dimension="3"/>
    <map measureGroup="3" dimension="4"/>
    <map measureGroup="4" dimension="1"/>
    <map measureGroup="4" dimension="3"/>
    <map measureGroup="4" dimension="5"/>
    <map measureGroup="4" dimension="6"/>
    <map measureGroup="5" dimension="6"/>
    <map measureGroup="6" dimension="1"/>
    <map measureGroup="6" dimension="3"/>
    <map measureGroup="6" dimension="6"/>
    <map measureGroup="6" dimension="7"/>
  </maps>
  <extLst>
    <ext xmlns:x14="http://schemas.microsoft.com/office/spreadsheetml/2009/9/main" uri="{725AE2AE-9491-48be-B2B4-4EB974FC3084}">
      <x14:pivotCacheDefinition pivotCacheId="15887744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65.826291898149" backgroundQuery="1" createdVersion="8" refreshedVersion="8" minRefreshableVersion="3" recordCount="0" supportSubquery="1" supportAdvancedDrill="1" xr:uid="{D05209B0-FD6B-4F8E-A3D2-3B78E528D487}">
  <cacheSource type="external" connectionId="10">
    <extLst>
      <ext xmlns:x14="http://schemas.microsoft.com/office/spreadsheetml/2009/9/main" uri="{F057638F-6D5F-4e77-A914-E7F072B9BCA8}">
        <x14:sourceConnection name="ThisWorkbookDataModel"/>
      </ext>
    </extLst>
  </cacheSource>
  <cacheFields count="3">
    <cacheField name="[Alarm  3].[KPI].[KPI]" caption="KPI" numFmtId="0" hierarchy="1" level="1">
      <sharedItems count="11">
        <s v="Action / Alarm"/>
        <s v="Average Alarm Rate /Hour"/>
        <s v="Chattering Count"/>
        <s v="Fleeting Count"/>
        <s v="Peak Alarm Rate (Hour)"/>
        <s v="Standing Alarms"/>
        <s v="Suppressed Alarms"/>
        <s v="Supressed Alarms"/>
        <s v="Total Actions"/>
        <s v="Total Alarms"/>
        <s v="Total Events"/>
      </sharedItems>
    </cacheField>
    <cacheField name="[Measures].[Sum of Amount 2]" caption="Sum of Amount 2" numFmtId="0" hierarchy="32" level="32767"/>
    <cacheField name="[Date].[Dates].[Dates]" caption="Dates" numFmtId="0" hierarchy="4" level="1">
      <sharedItems containsSemiMixedTypes="0" containsNonDate="0" containsString="0"/>
    </cacheField>
  </cacheFields>
  <cacheHierarchies count="39">
    <cacheHierarchy uniqueName="[Alarm  3].[Plant]" caption="Plant" attribute="1" defaultMemberUniqueName="[Alarm  3].[Plant].[All]" allUniqueName="[Alarm  3].[Plant].[All]" dimensionUniqueName="[Alarm  3]" displayFolder="" count="0" memberValueDatatype="130" unbalanced="0"/>
    <cacheHierarchy uniqueName="[Alarm  3].[KPI]" caption="KPI" attribute="1" defaultMemberUniqueName="[Alarm  3].[KPI].[All]" allUniqueName="[Alarm  3].[KPI].[All]" dimensionUniqueName="[Alarm  3]" displayFolder="" count="2" memberValueDatatype="130" unbalanced="0">
      <fieldsUsage count="2">
        <fieldUsage x="-1"/>
        <fieldUsage x="0"/>
      </fieldsUsage>
    </cacheHierarchy>
    <cacheHierarchy uniqueName="[Alarm  3].[Date]" caption="Date" attribute="1" time="1" defaultMemberUniqueName="[Alarm  3].[Date].[All]" allUniqueName="[Alarm  3].[Date].[All]" dimensionUniqueName="[Alarm  3]" displayFolder="" count="0" memberValueDatatype="7" unbalanced="0"/>
    <cacheHierarchy uniqueName="[Alarm  3].[Amount]" caption="Amount" attribute="1" defaultMemberUniqueName="[Alarm  3].[Amount].[All]" allUniqueName="[Alarm  3].[Amount].[All]" dimensionUniqueName="[Alarm  3]" displayFolder="" count="0" memberValueDatatype="5" unbalanced="0"/>
    <cacheHierarchy uniqueName="[Date].[Dates]" caption="Dates" attribute="1" time="1" defaultMemberUniqueName="[Date].[Dates].[All]" allUniqueName="[Date].[Dates].[All]" dimensionUniqueName="[Date]" displayFolder="" count="2" memberValueDatatype="7" unbalanced="0">
      <fieldsUsage count="2">
        <fieldUsage x="-1"/>
        <fieldUsage x="2"/>
      </fieldsUsage>
    </cacheHierarchy>
    <cacheHierarchy uniqueName="[planet].[planet]" caption="planet" attribute="1" defaultMemberUniqueName="[planet].[planet].[All]" allUniqueName="[planet].[planet].[All]" dimensionUniqueName="[planet]" displayFolder="" count="2" memberValueDatatype="130" unbalanced="0"/>
    <cacheHierarchy uniqueName="[Production  3].[Plant]" caption="Plant" attribute="1" defaultMemberUniqueName="[Production  3].[Plant].[All]" allUniqueName="[Production  3].[Plant].[All]" dimensionUniqueName="[Production  3]" displayFolder="" count="0" memberValueDatatype="130" unbalanced="0"/>
    <cacheHierarchy uniqueName="[Production  3].[Metric]" caption="Metric" attribute="1" defaultMemberUniqueName="[Production  3].[Metric].[All]" allUniqueName="[Production  3].[Metric].[All]" dimensionUniqueName="[Production  3]" displayFolder="" count="0" memberValueDatatype="130" unbalanced="0"/>
    <cacheHierarchy uniqueName="[Production  3].[Units]" caption="Units" attribute="1" defaultMemberUniqueName="[Production  3].[Units].[All]" allUniqueName="[Production  3].[Units].[All]" dimensionUniqueName="[Production  3]" displayFolder="" count="0" memberValueDatatype="130" unbalanced="0"/>
    <cacheHierarchy uniqueName="[Production  3].[Date]" caption="Date" attribute="1" time="1" defaultMemberUniqueName="[Production  3].[Date].[All]" allUniqueName="[Production  3].[Date].[All]" dimensionUniqueName="[Production  3]" displayFolder="" count="0" memberValueDatatype="7" unbalanced="0"/>
    <cacheHierarchy uniqueName="[Production  3].[Amount]" caption="Amount" attribute="1" defaultMemberUniqueName="[Production  3].[Amount].[All]" allUniqueName="[Production  3].[Amount].[All]" dimensionUniqueName="[Production  3]" displayFolder="" count="0" memberValueDatatype="5" unbalanced="0"/>
    <cacheHierarchy uniqueName="[specific  3].[Plant]" caption="Plant" attribute="1" defaultMemberUniqueName="[specific  3].[Plant].[All]" allUniqueName="[specific  3].[Plant].[All]" dimensionUniqueName="[specific  3]" displayFolder="" count="0" memberValueDatatype="130" unbalanced="0"/>
    <cacheHierarchy uniqueName="[specific  3].[Utility Name]" caption="Utility Name" attribute="1" defaultMemberUniqueName="[specific  3].[Utility Name].[All]" allUniqueName="[specific  3].[Utility Name].[All]" dimensionUniqueName="[specific  3]" displayFolder="" count="0" memberValueDatatype="130" unbalanced="0"/>
    <cacheHierarchy uniqueName="[specific  3].[Specific Consumption Unit]" caption="Specific Consumption Unit" attribute="1" defaultMemberUniqueName="[specific  3].[Specific Consumption Unit].[All]" allUniqueName="[specific  3].[Specific Consumption Unit].[All]" dimensionUniqueName="[specific  3]" displayFolder="" count="0" memberValueDatatype="130" unbalanced="0"/>
    <cacheHierarchy uniqueName="[specific  3].[Date]" caption="Date" attribute="1" time="1" defaultMemberUniqueName="[specific  3].[Date].[All]" allUniqueName="[specific  3].[Date].[All]" dimensionUniqueName="[specific  3]" displayFolder="" count="0" memberValueDatatype="7" unbalanced="0"/>
    <cacheHierarchy uniqueName="[specific  3].[Production(MT)]" caption="Production(MT)" attribute="1" defaultMemberUniqueName="[specific  3].[Production(MT)].[All]" allUniqueName="[specific  3].[Production(MT)].[All]" dimensionUniqueName="[specific  3]" displayFolder="" count="0" memberValueDatatype="5" unbalanced="0"/>
    <cacheHierarchy uniqueName="[specific  3].[Specific Consumption]" caption="Specific Consumption" attribute="1" defaultMemberUniqueName="[specific  3].[Specific Consumption].[All]" allUniqueName="[specific  3].[Specific Consumption].[All]" dimensionUniqueName="[specific  3]" displayFolder="" count="0" memberValueDatatype="5" unbalanced="0"/>
    <cacheHierarchy uniqueName="[utility].[utility name]" caption="utility name" attribute="1" defaultMemberUniqueName="[utility].[utility name].[All]" allUniqueName="[utility].[utility name].[All]" dimensionUniqueName="[utility]" displayFolder="" count="2" memberValueDatatype="130" unbalanced="0"/>
    <cacheHierarchy uniqueName="[Utility  3].[Plant]" caption="Plant" attribute="1" defaultMemberUniqueName="[Utility  3].[Plant].[All]" allUniqueName="[Utility  3].[Plant].[All]" dimensionUniqueName="[Utility  3]" displayFolder="" count="0" memberValueDatatype="130" unbalanced="0"/>
    <cacheHierarchy uniqueName="[Utility  3].[Utility]" caption="Utility" attribute="1" defaultMemberUniqueName="[Utility  3].[Utility].[All]" allUniqueName="[Utility  3].[Utility].[All]" dimensionUniqueName="[Utility  3]" displayFolder="" count="0" memberValueDatatype="130" unbalanced="0"/>
    <cacheHierarchy uniqueName="[Utility  3].[Units]" caption="Units" attribute="1" defaultMemberUniqueName="[Utility  3].[Units].[All]" allUniqueName="[Utility  3].[Units].[All]" dimensionUniqueName="[Utility  3]" displayFolder="" count="0" memberValueDatatype="130" unbalanced="0"/>
    <cacheHierarchy uniqueName="[Utility  3].[Date]" caption="Date" attribute="1" time="1" defaultMemberUniqueName="[Utility  3].[Date].[All]" allUniqueName="[Utility  3].[Date].[All]" dimensionUniqueName="[Utility  3]" displayFolder="" count="0" memberValueDatatype="7" unbalanced="0"/>
    <cacheHierarchy uniqueName="[Utility  3].[Amount]" caption="Amount" attribute="1" defaultMemberUniqueName="[Utility  3].[Amount].[All]" allUniqueName="[Utility  3].[Amount].[All]" dimensionUniqueName="[Utility  3]" displayFolder="" count="0" memberValueDatatype="5" unbalanced="0"/>
    <cacheHierarchy uniqueName="[Measures].[__XL_Count Utility  3]" caption="__XL_Count Utility  3" measure="1" displayFolder="" measureGroup="Utility  3" count="0" hidden="1"/>
    <cacheHierarchy uniqueName="[Measures].[__XL_Count Production  3]" caption="__XL_Count Production  3" measure="1" displayFolder="" measureGroup="Production  3" count="0" hidden="1"/>
    <cacheHierarchy uniqueName="[Measures].[__XL_Count specific  3]" caption="__XL_Count specific  3" measure="1" displayFolder="" measureGroup="specific  3" count="0" hidden="1"/>
    <cacheHierarchy uniqueName="[Measures].[__XL_Count Alarm  3]" caption="__XL_Count Alarm  3" measure="1" displayFolder="" measureGroup="Alarm  3" count="0" hidden="1"/>
    <cacheHierarchy uniqueName="[Measures].[__XL_Count Table7]" caption="__XL_Count Table7" measure="1" displayFolder="" measureGroup="Date" count="0" hidden="1"/>
    <cacheHierarchy uniqueName="[Measures].[__XL_Count planet]" caption="__XL_Count planet" measure="1" displayFolder="" measureGroup="planet" count="0" hidden="1"/>
    <cacheHierarchy uniqueName="[Measures].[__XL_Count utility]" caption="__XL_Count utility" measure="1" displayFolder="" measureGroup="utility" count="0" hidden="1"/>
    <cacheHierarchy uniqueName="[Measures].[__No measures defined]" caption="__No measures defined" measure="1" displayFolder="" count="0" hidden="1"/>
    <cacheHierarchy uniqueName="[Measures].[Sum of Amount]" caption="Sum of Amount" measure="1" displayFolder="" measureGroup="Production  3"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Alarm  3"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KPI]" caption="Count of KPI" measure="1" displayFolder="" measureGroup="Alarm  3" count="0" hidden="1">
      <extLst>
        <ext xmlns:x15="http://schemas.microsoft.com/office/spreadsheetml/2010/11/main" uri="{B97F6D7D-B522-45F9-BDA1-12C45D357490}">
          <x15:cacheHierarchy aggregatedColumn="1"/>
        </ext>
      </extLst>
    </cacheHierarchy>
    <cacheHierarchy uniqueName="[Measures].[Sum of Amount 3]" caption="Sum of Amount 3" measure="1" displayFolder="" measureGroup="Utility  3" count="0" hidden="1">
      <extLst>
        <ext xmlns:x15="http://schemas.microsoft.com/office/spreadsheetml/2010/11/main" uri="{B97F6D7D-B522-45F9-BDA1-12C45D357490}">
          <x15:cacheHierarchy aggregatedColumn="22"/>
        </ext>
      </extLst>
    </cacheHierarchy>
    <cacheHierarchy uniqueName="[Measures].[Count of Production(MT)]" caption="Count of Production(MT)" measure="1" displayFolder="" measureGroup="specific  3" count="0" hidden="1">
      <extLst>
        <ext xmlns:x15="http://schemas.microsoft.com/office/spreadsheetml/2010/11/main" uri="{B97F6D7D-B522-45F9-BDA1-12C45D357490}">
          <x15:cacheHierarchy aggregatedColumn="15"/>
        </ext>
      </extLst>
    </cacheHierarchy>
    <cacheHierarchy uniqueName="[Measures].[Count of Specific Consumption]" caption="Count of Specific Consumption" measure="1" displayFolder="" measureGroup="specific  3" count="0" hidden="1">
      <extLst>
        <ext xmlns:x15="http://schemas.microsoft.com/office/spreadsheetml/2010/11/main" uri="{B97F6D7D-B522-45F9-BDA1-12C45D357490}">
          <x15:cacheHierarchy aggregatedColumn="16"/>
        </ext>
      </extLst>
    </cacheHierarchy>
    <cacheHierarchy uniqueName="[Measures].[Sum of Production(MT)]" caption="Sum of Production(MT)" measure="1" displayFolder="" measureGroup="specific  3" count="0" hidden="1">
      <extLst>
        <ext xmlns:x15="http://schemas.microsoft.com/office/spreadsheetml/2010/11/main" uri="{B97F6D7D-B522-45F9-BDA1-12C45D357490}">
          <x15:cacheHierarchy aggregatedColumn="15"/>
        </ext>
      </extLst>
    </cacheHierarchy>
    <cacheHierarchy uniqueName="[Measures].[Sum of Specific Consumption]" caption="Sum of Specific Consumption" measure="1" displayFolder="" measureGroup="specific  3" count="0" hidden="1">
      <extLst>
        <ext xmlns:x15="http://schemas.microsoft.com/office/spreadsheetml/2010/11/main" uri="{B97F6D7D-B522-45F9-BDA1-12C45D357490}">
          <x15:cacheHierarchy aggregatedColumn="16"/>
        </ext>
      </extLst>
    </cacheHierarchy>
  </cacheHierarchies>
  <kpis count="0"/>
  <dimensions count="8">
    <dimension name="Alarm  3" uniqueName="[Alarm  3]" caption="Alarm  3"/>
    <dimension name="Date" uniqueName="[Date]" caption="Date"/>
    <dimension measure="1" name="Measures" uniqueName="[Measures]" caption="Measures"/>
    <dimension name="planet" uniqueName="[planet]" caption="planet"/>
    <dimension name="Production  3" uniqueName="[Production  3]" caption="Production  3"/>
    <dimension name="specific  3" uniqueName="[specific  3]" caption="specific  3"/>
    <dimension name="utility" uniqueName="[utility]" caption="utility"/>
    <dimension name="Utility  3" uniqueName="[Utility  3]" caption="Utility  3"/>
  </dimensions>
  <measureGroups count="7">
    <measureGroup name="Alarm  3" caption="Alarm  3"/>
    <measureGroup name="Date" caption="Date"/>
    <measureGroup name="planet" caption="planet"/>
    <measureGroup name="Production  3" caption="Production  3"/>
    <measureGroup name="specific  3" caption="specific  3"/>
    <measureGroup name="utility" caption="utility"/>
    <measureGroup name="Utility  3" caption="Utility  3"/>
  </measureGroups>
  <maps count="17">
    <map measureGroup="0" dimension="0"/>
    <map measureGroup="0" dimension="1"/>
    <map measureGroup="0" dimension="3"/>
    <map measureGroup="1" dimension="1"/>
    <map measureGroup="2" dimension="3"/>
    <map measureGroup="3" dimension="1"/>
    <map measureGroup="3" dimension="3"/>
    <map measureGroup="3" dimension="4"/>
    <map measureGroup="4" dimension="1"/>
    <map measureGroup="4" dimension="3"/>
    <map measureGroup="4" dimension="5"/>
    <map measureGroup="4" dimension="6"/>
    <map measureGroup="5" dimension="6"/>
    <map measureGroup="6" dimension="1"/>
    <map measureGroup="6" dimension="3"/>
    <map measureGroup="6" dimension="6"/>
    <map measureGroup="6" dimension="7"/>
  </maps>
  <extLst>
    <ext xmlns:x14="http://schemas.microsoft.com/office/spreadsheetml/2009/9/main" uri="{725AE2AE-9491-48be-B2B4-4EB974FC3084}">
      <x14:pivotCacheDefinition pivotCacheId="106770973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65.826292245372" backgroundQuery="1" createdVersion="8" refreshedVersion="8" minRefreshableVersion="3" recordCount="0" supportSubquery="1" supportAdvancedDrill="1" xr:uid="{FE549617-3508-42EA-87B8-8080E71BF2E4}">
  <cacheSource type="external" connectionId="10">
    <extLst>
      <ext xmlns:x14="http://schemas.microsoft.com/office/spreadsheetml/2009/9/main" uri="{F057638F-6D5F-4e77-A914-E7F072B9BCA8}">
        <x14:sourceConnection name="ThisWorkbookDataModel"/>
      </ext>
    </extLst>
  </cacheSource>
  <cacheFields count="3">
    <cacheField name="[Utility  3].[Utility].[Utility]" caption="Utility" numFmtId="0" hierarchy="19" level="1">
      <sharedItems count="11">
        <s v="Condensate Return"/>
        <s v="Cooling Water"/>
        <s v="DM Water"/>
        <s v="HP Steam"/>
        <s v="Instrument air"/>
        <s v="LP Steam"/>
        <s v="MP Steam"/>
        <s v="Nitrogen"/>
        <s v="Plant Air"/>
        <s v="Plant water"/>
        <s v="Power"/>
      </sharedItems>
    </cacheField>
    <cacheField name="[Measures].[Sum of Amount 3]" caption="Sum of Amount 3" numFmtId="0" hierarchy="34" level="32767"/>
    <cacheField name="[Date].[Dates].[Dates]" caption="Dates" numFmtId="0" hierarchy="4" level="1">
      <sharedItems containsSemiMixedTypes="0" containsNonDate="0" containsString="0"/>
    </cacheField>
  </cacheFields>
  <cacheHierarchies count="39">
    <cacheHierarchy uniqueName="[Alarm  3].[Plant]" caption="Plant" attribute="1" defaultMemberUniqueName="[Alarm  3].[Plant].[All]" allUniqueName="[Alarm  3].[Plant].[All]" dimensionUniqueName="[Alarm  3]" displayFolder="" count="0" memberValueDatatype="130" unbalanced="0"/>
    <cacheHierarchy uniqueName="[Alarm  3].[KPI]" caption="KPI" attribute="1" defaultMemberUniqueName="[Alarm  3].[KPI].[All]" allUniqueName="[Alarm  3].[KPI].[All]" dimensionUniqueName="[Alarm  3]" displayFolder="" count="0" memberValueDatatype="130" unbalanced="0"/>
    <cacheHierarchy uniqueName="[Alarm  3].[Date]" caption="Date" attribute="1" time="1" defaultMemberUniqueName="[Alarm  3].[Date].[All]" allUniqueName="[Alarm  3].[Date].[All]" dimensionUniqueName="[Alarm  3]" displayFolder="" count="0" memberValueDatatype="7" unbalanced="0"/>
    <cacheHierarchy uniqueName="[Alarm  3].[Amount]" caption="Amount" attribute="1" defaultMemberUniqueName="[Alarm  3].[Amount].[All]" allUniqueName="[Alarm  3].[Amount].[All]" dimensionUniqueName="[Alarm  3]" displayFolder="" count="0" memberValueDatatype="5" unbalanced="0"/>
    <cacheHierarchy uniqueName="[Date].[Dates]" caption="Dates" attribute="1" time="1" defaultMemberUniqueName="[Date].[Dates].[All]" allUniqueName="[Date].[Dates].[All]" dimensionUniqueName="[Date]" displayFolder="" count="2" memberValueDatatype="7" unbalanced="0">
      <fieldsUsage count="2">
        <fieldUsage x="-1"/>
        <fieldUsage x="2"/>
      </fieldsUsage>
    </cacheHierarchy>
    <cacheHierarchy uniqueName="[planet].[planet]" caption="planet" attribute="1" defaultMemberUniqueName="[planet].[planet].[All]" allUniqueName="[planet].[planet].[All]" dimensionUniqueName="[planet]" displayFolder="" count="2" memberValueDatatype="130" unbalanced="0"/>
    <cacheHierarchy uniqueName="[Production  3].[Plant]" caption="Plant" attribute="1" defaultMemberUniqueName="[Production  3].[Plant].[All]" allUniqueName="[Production  3].[Plant].[All]" dimensionUniqueName="[Production  3]" displayFolder="" count="0" memberValueDatatype="130" unbalanced="0"/>
    <cacheHierarchy uniqueName="[Production  3].[Metric]" caption="Metric" attribute="1" defaultMemberUniqueName="[Production  3].[Metric].[All]" allUniqueName="[Production  3].[Metric].[All]" dimensionUniqueName="[Production  3]" displayFolder="" count="0" memberValueDatatype="130" unbalanced="0"/>
    <cacheHierarchy uniqueName="[Production  3].[Units]" caption="Units" attribute="1" defaultMemberUniqueName="[Production  3].[Units].[All]" allUniqueName="[Production  3].[Units].[All]" dimensionUniqueName="[Production  3]" displayFolder="" count="0" memberValueDatatype="130" unbalanced="0"/>
    <cacheHierarchy uniqueName="[Production  3].[Date]" caption="Date" attribute="1" time="1" defaultMemberUniqueName="[Production  3].[Date].[All]" allUniqueName="[Production  3].[Date].[All]" dimensionUniqueName="[Production  3]" displayFolder="" count="0" memberValueDatatype="7" unbalanced="0"/>
    <cacheHierarchy uniqueName="[Production  3].[Amount]" caption="Amount" attribute="1" defaultMemberUniqueName="[Production  3].[Amount].[All]" allUniqueName="[Production  3].[Amount].[All]" dimensionUniqueName="[Production  3]" displayFolder="" count="0" memberValueDatatype="5" unbalanced="0"/>
    <cacheHierarchy uniqueName="[specific  3].[Plant]" caption="Plant" attribute="1" defaultMemberUniqueName="[specific  3].[Plant].[All]" allUniqueName="[specific  3].[Plant].[All]" dimensionUniqueName="[specific  3]" displayFolder="" count="0" memberValueDatatype="130" unbalanced="0"/>
    <cacheHierarchy uniqueName="[specific  3].[Utility Name]" caption="Utility Name" attribute="1" defaultMemberUniqueName="[specific  3].[Utility Name].[All]" allUniqueName="[specific  3].[Utility Name].[All]" dimensionUniqueName="[specific  3]" displayFolder="" count="0" memberValueDatatype="130" unbalanced="0"/>
    <cacheHierarchy uniqueName="[specific  3].[Specific Consumption Unit]" caption="Specific Consumption Unit" attribute="1" defaultMemberUniqueName="[specific  3].[Specific Consumption Unit].[All]" allUniqueName="[specific  3].[Specific Consumption Unit].[All]" dimensionUniqueName="[specific  3]" displayFolder="" count="0" memberValueDatatype="130" unbalanced="0"/>
    <cacheHierarchy uniqueName="[specific  3].[Date]" caption="Date" attribute="1" time="1" defaultMemberUniqueName="[specific  3].[Date].[All]" allUniqueName="[specific  3].[Date].[All]" dimensionUniqueName="[specific  3]" displayFolder="" count="0" memberValueDatatype="7" unbalanced="0"/>
    <cacheHierarchy uniqueName="[specific  3].[Production(MT)]" caption="Production(MT)" attribute="1" defaultMemberUniqueName="[specific  3].[Production(MT)].[All]" allUniqueName="[specific  3].[Production(MT)].[All]" dimensionUniqueName="[specific  3]" displayFolder="" count="0" memberValueDatatype="5" unbalanced="0"/>
    <cacheHierarchy uniqueName="[specific  3].[Specific Consumption]" caption="Specific Consumption" attribute="1" defaultMemberUniqueName="[specific  3].[Specific Consumption].[All]" allUniqueName="[specific  3].[Specific Consumption].[All]" dimensionUniqueName="[specific  3]" displayFolder="" count="0" memberValueDatatype="5" unbalanced="0"/>
    <cacheHierarchy uniqueName="[utility].[utility name]" caption="utility name" attribute="1" defaultMemberUniqueName="[utility].[utility name].[All]" allUniqueName="[utility].[utility name].[All]" dimensionUniqueName="[utility]" displayFolder="" count="2" memberValueDatatype="130" unbalanced="0"/>
    <cacheHierarchy uniqueName="[Utility  3].[Plant]" caption="Plant" attribute="1" defaultMemberUniqueName="[Utility  3].[Plant].[All]" allUniqueName="[Utility  3].[Plant].[All]" dimensionUniqueName="[Utility  3]" displayFolder="" count="0" memberValueDatatype="130" unbalanced="0"/>
    <cacheHierarchy uniqueName="[Utility  3].[Utility]" caption="Utility" attribute="1" defaultMemberUniqueName="[Utility  3].[Utility].[All]" allUniqueName="[Utility  3].[Utility].[All]" dimensionUniqueName="[Utility  3]" displayFolder="" count="2" memberValueDatatype="130" unbalanced="0">
      <fieldsUsage count="2">
        <fieldUsage x="-1"/>
        <fieldUsage x="0"/>
      </fieldsUsage>
    </cacheHierarchy>
    <cacheHierarchy uniqueName="[Utility  3].[Units]" caption="Units" attribute="1" defaultMemberUniqueName="[Utility  3].[Units].[All]" allUniqueName="[Utility  3].[Units].[All]" dimensionUniqueName="[Utility  3]" displayFolder="" count="0" memberValueDatatype="130" unbalanced="0"/>
    <cacheHierarchy uniqueName="[Utility  3].[Date]" caption="Date" attribute="1" time="1" defaultMemberUniqueName="[Utility  3].[Date].[All]" allUniqueName="[Utility  3].[Date].[All]" dimensionUniqueName="[Utility  3]" displayFolder="" count="0" memberValueDatatype="7" unbalanced="0"/>
    <cacheHierarchy uniqueName="[Utility  3].[Amount]" caption="Amount" attribute="1" defaultMemberUniqueName="[Utility  3].[Amount].[All]" allUniqueName="[Utility  3].[Amount].[All]" dimensionUniqueName="[Utility  3]" displayFolder="" count="0" memberValueDatatype="5" unbalanced="0"/>
    <cacheHierarchy uniqueName="[Measures].[__XL_Count Utility  3]" caption="__XL_Count Utility  3" measure="1" displayFolder="" measureGroup="Utility  3" count="0" hidden="1"/>
    <cacheHierarchy uniqueName="[Measures].[__XL_Count Production  3]" caption="__XL_Count Production  3" measure="1" displayFolder="" measureGroup="Production  3" count="0" hidden="1"/>
    <cacheHierarchy uniqueName="[Measures].[__XL_Count specific  3]" caption="__XL_Count specific  3" measure="1" displayFolder="" measureGroup="specific  3" count="0" hidden="1"/>
    <cacheHierarchy uniqueName="[Measures].[__XL_Count Alarm  3]" caption="__XL_Count Alarm  3" measure="1" displayFolder="" measureGroup="Alarm  3" count="0" hidden="1"/>
    <cacheHierarchy uniqueName="[Measures].[__XL_Count Table7]" caption="__XL_Count Table7" measure="1" displayFolder="" measureGroup="Date" count="0" hidden="1"/>
    <cacheHierarchy uniqueName="[Measures].[__XL_Count planet]" caption="__XL_Count planet" measure="1" displayFolder="" measureGroup="planet" count="0" hidden="1"/>
    <cacheHierarchy uniqueName="[Measures].[__XL_Count utility]" caption="__XL_Count utility" measure="1" displayFolder="" measureGroup="utility" count="0" hidden="1"/>
    <cacheHierarchy uniqueName="[Measures].[__No measures defined]" caption="__No measures defined" measure="1" displayFolder="" count="0" hidden="1"/>
    <cacheHierarchy uniqueName="[Measures].[Sum of Amount]" caption="Sum of Amount" measure="1" displayFolder="" measureGroup="Production  3"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Alarm  3" count="0" hidden="1">
      <extLst>
        <ext xmlns:x15="http://schemas.microsoft.com/office/spreadsheetml/2010/11/main" uri="{B97F6D7D-B522-45F9-BDA1-12C45D357490}">
          <x15:cacheHierarchy aggregatedColumn="3"/>
        </ext>
      </extLst>
    </cacheHierarchy>
    <cacheHierarchy uniqueName="[Measures].[Count of KPI]" caption="Count of KPI" measure="1" displayFolder="" measureGroup="Alarm  3" count="0" hidden="1">
      <extLst>
        <ext xmlns:x15="http://schemas.microsoft.com/office/spreadsheetml/2010/11/main" uri="{B97F6D7D-B522-45F9-BDA1-12C45D357490}">
          <x15:cacheHierarchy aggregatedColumn="1"/>
        </ext>
      </extLst>
    </cacheHierarchy>
    <cacheHierarchy uniqueName="[Measures].[Sum of Amount 3]" caption="Sum of Amount 3" measure="1" displayFolder="" measureGroup="Utility  3"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Production(MT)]" caption="Count of Production(MT)" measure="1" displayFolder="" measureGroup="specific  3" count="0" hidden="1">
      <extLst>
        <ext xmlns:x15="http://schemas.microsoft.com/office/spreadsheetml/2010/11/main" uri="{B97F6D7D-B522-45F9-BDA1-12C45D357490}">
          <x15:cacheHierarchy aggregatedColumn="15"/>
        </ext>
      </extLst>
    </cacheHierarchy>
    <cacheHierarchy uniqueName="[Measures].[Count of Specific Consumption]" caption="Count of Specific Consumption" measure="1" displayFolder="" measureGroup="specific  3" count="0" hidden="1">
      <extLst>
        <ext xmlns:x15="http://schemas.microsoft.com/office/spreadsheetml/2010/11/main" uri="{B97F6D7D-B522-45F9-BDA1-12C45D357490}">
          <x15:cacheHierarchy aggregatedColumn="16"/>
        </ext>
      </extLst>
    </cacheHierarchy>
    <cacheHierarchy uniqueName="[Measures].[Sum of Production(MT)]" caption="Sum of Production(MT)" measure="1" displayFolder="" measureGroup="specific  3" count="0" hidden="1">
      <extLst>
        <ext xmlns:x15="http://schemas.microsoft.com/office/spreadsheetml/2010/11/main" uri="{B97F6D7D-B522-45F9-BDA1-12C45D357490}">
          <x15:cacheHierarchy aggregatedColumn="15"/>
        </ext>
      </extLst>
    </cacheHierarchy>
    <cacheHierarchy uniqueName="[Measures].[Sum of Specific Consumption]" caption="Sum of Specific Consumption" measure="1" displayFolder="" measureGroup="specific  3" count="0" hidden="1">
      <extLst>
        <ext xmlns:x15="http://schemas.microsoft.com/office/spreadsheetml/2010/11/main" uri="{B97F6D7D-B522-45F9-BDA1-12C45D357490}">
          <x15:cacheHierarchy aggregatedColumn="16"/>
        </ext>
      </extLst>
    </cacheHierarchy>
  </cacheHierarchies>
  <kpis count="0"/>
  <dimensions count="8">
    <dimension name="Alarm  3" uniqueName="[Alarm  3]" caption="Alarm  3"/>
    <dimension name="Date" uniqueName="[Date]" caption="Date"/>
    <dimension measure="1" name="Measures" uniqueName="[Measures]" caption="Measures"/>
    <dimension name="planet" uniqueName="[planet]" caption="planet"/>
    <dimension name="Production  3" uniqueName="[Production  3]" caption="Production  3"/>
    <dimension name="specific  3" uniqueName="[specific  3]" caption="specific  3"/>
    <dimension name="utility" uniqueName="[utility]" caption="utility"/>
    <dimension name="Utility  3" uniqueName="[Utility  3]" caption="Utility  3"/>
  </dimensions>
  <measureGroups count="7">
    <measureGroup name="Alarm  3" caption="Alarm  3"/>
    <measureGroup name="Date" caption="Date"/>
    <measureGroup name="planet" caption="planet"/>
    <measureGroup name="Production  3" caption="Production  3"/>
    <measureGroup name="specific  3" caption="specific  3"/>
    <measureGroup name="utility" caption="utility"/>
    <measureGroup name="Utility  3" caption="Utility  3"/>
  </measureGroups>
  <maps count="17">
    <map measureGroup="0" dimension="0"/>
    <map measureGroup="0" dimension="1"/>
    <map measureGroup="0" dimension="3"/>
    <map measureGroup="1" dimension="1"/>
    <map measureGroup="2" dimension="3"/>
    <map measureGroup="3" dimension="1"/>
    <map measureGroup="3" dimension="3"/>
    <map measureGroup="3" dimension="4"/>
    <map measureGroup="4" dimension="1"/>
    <map measureGroup="4" dimension="3"/>
    <map measureGroup="4" dimension="5"/>
    <map measureGroup="4" dimension="6"/>
    <map measureGroup="5" dimension="6"/>
    <map measureGroup="6" dimension="1"/>
    <map measureGroup="6" dimension="3"/>
    <map measureGroup="6" dimension="6"/>
    <map measureGroup="6" dimension="7"/>
  </maps>
  <extLst>
    <ext xmlns:x14="http://schemas.microsoft.com/office/spreadsheetml/2009/9/main" uri="{725AE2AE-9491-48be-B2B4-4EB974FC3084}">
      <x14:pivotCacheDefinition pivotCacheId="2361104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65.826292592596" backgroundQuery="1" createdVersion="8" refreshedVersion="8" minRefreshableVersion="3" recordCount="0" supportSubquery="1" supportAdvancedDrill="1" xr:uid="{8C08978B-1357-44DA-9FA9-E73689E13569}">
  <cacheSource type="external" connectionId="10">
    <extLst>
      <ext xmlns:x14="http://schemas.microsoft.com/office/spreadsheetml/2009/9/main" uri="{F057638F-6D5F-4e77-A914-E7F072B9BCA8}">
        <x14:sourceConnection name="ThisWorkbookDataModel"/>
      </ext>
    </extLst>
  </cacheSource>
  <cacheFields count="3">
    <cacheField name="[Alarm  3].[KPI].[KPI]" caption="KPI" numFmtId="0" hierarchy="1" level="1">
      <sharedItems count="11">
        <s v="Action / Alarm"/>
        <s v="Average Alarm Rate /Hour"/>
        <s v="Chattering Count"/>
        <s v="Fleeting Count"/>
        <s v="Peak Alarm Rate (Hour)"/>
        <s v="Standing Alarms"/>
        <s v="Suppressed Alarms"/>
        <s v="Supressed Alarms"/>
        <s v="Total Actions"/>
        <s v="Total Alarms"/>
        <s v="Total Events"/>
      </sharedItems>
    </cacheField>
    <cacheField name="[Measures].[Sum of Amount 2]" caption="Sum of Amount 2" numFmtId="0" hierarchy="32" level="32767"/>
    <cacheField name="[Date].[Dates].[Dates]" caption="Dates" numFmtId="0" hierarchy="4" level="1">
      <sharedItems containsSemiMixedTypes="0" containsNonDate="0" containsString="0"/>
    </cacheField>
  </cacheFields>
  <cacheHierarchies count="39">
    <cacheHierarchy uniqueName="[Alarm  3].[Plant]" caption="Plant" attribute="1" defaultMemberUniqueName="[Alarm  3].[Plant].[All]" allUniqueName="[Alarm  3].[Plant].[All]" dimensionUniqueName="[Alarm  3]" displayFolder="" count="0" memberValueDatatype="130" unbalanced="0"/>
    <cacheHierarchy uniqueName="[Alarm  3].[KPI]" caption="KPI" attribute="1" defaultMemberUniqueName="[Alarm  3].[KPI].[All]" allUniqueName="[Alarm  3].[KPI].[All]" dimensionUniqueName="[Alarm  3]" displayFolder="" count="2" memberValueDatatype="130" unbalanced="0">
      <fieldsUsage count="2">
        <fieldUsage x="-1"/>
        <fieldUsage x="0"/>
      </fieldsUsage>
    </cacheHierarchy>
    <cacheHierarchy uniqueName="[Alarm  3].[Date]" caption="Date" attribute="1" time="1" defaultMemberUniqueName="[Alarm  3].[Date].[All]" allUniqueName="[Alarm  3].[Date].[All]" dimensionUniqueName="[Alarm  3]" displayFolder="" count="0" memberValueDatatype="7" unbalanced="0"/>
    <cacheHierarchy uniqueName="[Alarm  3].[Amount]" caption="Amount" attribute="1" defaultMemberUniqueName="[Alarm  3].[Amount].[All]" allUniqueName="[Alarm  3].[Amount].[All]" dimensionUniqueName="[Alarm  3]" displayFolder="" count="0" memberValueDatatype="5" unbalanced="0"/>
    <cacheHierarchy uniqueName="[Date].[Dates]" caption="Dates" attribute="1" time="1" defaultMemberUniqueName="[Date].[Dates].[All]" allUniqueName="[Date].[Dates].[All]" dimensionUniqueName="[Date]" displayFolder="" count="2" memberValueDatatype="7" unbalanced="0">
      <fieldsUsage count="2">
        <fieldUsage x="-1"/>
        <fieldUsage x="2"/>
      </fieldsUsage>
    </cacheHierarchy>
    <cacheHierarchy uniqueName="[planet].[planet]" caption="planet" attribute="1" defaultMemberUniqueName="[planet].[planet].[All]" allUniqueName="[planet].[planet].[All]" dimensionUniqueName="[planet]" displayFolder="" count="2" memberValueDatatype="130" unbalanced="0"/>
    <cacheHierarchy uniqueName="[Production  3].[Plant]" caption="Plant" attribute="1" defaultMemberUniqueName="[Production  3].[Plant].[All]" allUniqueName="[Production  3].[Plant].[All]" dimensionUniqueName="[Production  3]" displayFolder="" count="0" memberValueDatatype="130" unbalanced="0"/>
    <cacheHierarchy uniqueName="[Production  3].[Metric]" caption="Metric" attribute="1" defaultMemberUniqueName="[Production  3].[Metric].[All]" allUniqueName="[Production  3].[Metric].[All]" dimensionUniqueName="[Production  3]" displayFolder="" count="0" memberValueDatatype="130" unbalanced="0"/>
    <cacheHierarchy uniqueName="[Production  3].[Units]" caption="Units" attribute="1" defaultMemberUniqueName="[Production  3].[Units].[All]" allUniqueName="[Production  3].[Units].[All]" dimensionUniqueName="[Production  3]" displayFolder="" count="0" memberValueDatatype="130" unbalanced="0"/>
    <cacheHierarchy uniqueName="[Production  3].[Date]" caption="Date" attribute="1" time="1" defaultMemberUniqueName="[Production  3].[Date].[All]" allUniqueName="[Production  3].[Date].[All]" dimensionUniqueName="[Production  3]" displayFolder="" count="0" memberValueDatatype="7" unbalanced="0"/>
    <cacheHierarchy uniqueName="[Production  3].[Amount]" caption="Amount" attribute="1" defaultMemberUniqueName="[Production  3].[Amount].[All]" allUniqueName="[Production  3].[Amount].[All]" dimensionUniqueName="[Production  3]" displayFolder="" count="0" memberValueDatatype="5" unbalanced="0"/>
    <cacheHierarchy uniqueName="[specific  3].[Plant]" caption="Plant" attribute="1" defaultMemberUniqueName="[specific  3].[Plant].[All]" allUniqueName="[specific  3].[Plant].[All]" dimensionUniqueName="[specific  3]" displayFolder="" count="0" memberValueDatatype="130" unbalanced="0"/>
    <cacheHierarchy uniqueName="[specific  3].[Utility Name]" caption="Utility Name" attribute="1" defaultMemberUniqueName="[specific  3].[Utility Name].[All]" allUniqueName="[specific  3].[Utility Name].[All]" dimensionUniqueName="[specific  3]" displayFolder="" count="0" memberValueDatatype="130" unbalanced="0"/>
    <cacheHierarchy uniqueName="[specific  3].[Specific Consumption Unit]" caption="Specific Consumption Unit" attribute="1" defaultMemberUniqueName="[specific  3].[Specific Consumption Unit].[All]" allUniqueName="[specific  3].[Specific Consumption Unit].[All]" dimensionUniqueName="[specific  3]" displayFolder="" count="0" memberValueDatatype="130" unbalanced="0"/>
    <cacheHierarchy uniqueName="[specific  3].[Date]" caption="Date" attribute="1" time="1" defaultMemberUniqueName="[specific  3].[Date].[All]" allUniqueName="[specific  3].[Date].[All]" dimensionUniqueName="[specific  3]" displayFolder="" count="0" memberValueDatatype="7" unbalanced="0"/>
    <cacheHierarchy uniqueName="[specific  3].[Production(MT)]" caption="Production(MT)" attribute="1" defaultMemberUniqueName="[specific  3].[Production(MT)].[All]" allUniqueName="[specific  3].[Production(MT)].[All]" dimensionUniqueName="[specific  3]" displayFolder="" count="0" memberValueDatatype="5" unbalanced="0"/>
    <cacheHierarchy uniqueName="[specific  3].[Specific Consumption]" caption="Specific Consumption" attribute="1" defaultMemberUniqueName="[specific  3].[Specific Consumption].[All]" allUniqueName="[specific  3].[Specific Consumption].[All]" dimensionUniqueName="[specific  3]" displayFolder="" count="0" memberValueDatatype="5" unbalanced="0"/>
    <cacheHierarchy uniqueName="[utility].[utility name]" caption="utility name" attribute="1" defaultMemberUniqueName="[utility].[utility name].[All]" allUniqueName="[utility].[utility name].[All]" dimensionUniqueName="[utility]" displayFolder="" count="2" memberValueDatatype="130" unbalanced="0"/>
    <cacheHierarchy uniqueName="[Utility  3].[Plant]" caption="Plant" attribute="1" defaultMemberUniqueName="[Utility  3].[Plant].[All]" allUniqueName="[Utility  3].[Plant].[All]" dimensionUniqueName="[Utility  3]" displayFolder="" count="0" memberValueDatatype="130" unbalanced="0"/>
    <cacheHierarchy uniqueName="[Utility  3].[Utility]" caption="Utility" attribute="1" defaultMemberUniqueName="[Utility  3].[Utility].[All]" allUniqueName="[Utility  3].[Utility].[All]" dimensionUniqueName="[Utility  3]" displayFolder="" count="0" memberValueDatatype="130" unbalanced="0"/>
    <cacheHierarchy uniqueName="[Utility  3].[Units]" caption="Units" attribute="1" defaultMemberUniqueName="[Utility  3].[Units].[All]" allUniqueName="[Utility  3].[Units].[All]" dimensionUniqueName="[Utility  3]" displayFolder="" count="0" memberValueDatatype="130" unbalanced="0"/>
    <cacheHierarchy uniqueName="[Utility  3].[Date]" caption="Date" attribute="1" time="1" defaultMemberUniqueName="[Utility  3].[Date].[All]" allUniqueName="[Utility  3].[Date].[All]" dimensionUniqueName="[Utility  3]" displayFolder="" count="0" memberValueDatatype="7" unbalanced="0"/>
    <cacheHierarchy uniqueName="[Utility  3].[Amount]" caption="Amount" attribute="1" defaultMemberUniqueName="[Utility  3].[Amount].[All]" allUniqueName="[Utility  3].[Amount].[All]" dimensionUniqueName="[Utility  3]" displayFolder="" count="0" memberValueDatatype="5" unbalanced="0"/>
    <cacheHierarchy uniqueName="[Measures].[__XL_Count Utility  3]" caption="__XL_Count Utility  3" measure="1" displayFolder="" measureGroup="Utility  3" count="0" hidden="1"/>
    <cacheHierarchy uniqueName="[Measures].[__XL_Count Production  3]" caption="__XL_Count Production  3" measure="1" displayFolder="" measureGroup="Production  3" count="0" hidden="1"/>
    <cacheHierarchy uniqueName="[Measures].[__XL_Count specific  3]" caption="__XL_Count specific  3" measure="1" displayFolder="" measureGroup="specific  3" count="0" hidden="1"/>
    <cacheHierarchy uniqueName="[Measures].[__XL_Count Alarm  3]" caption="__XL_Count Alarm  3" measure="1" displayFolder="" measureGroup="Alarm  3" count="0" hidden="1"/>
    <cacheHierarchy uniqueName="[Measures].[__XL_Count Table7]" caption="__XL_Count Table7" measure="1" displayFolder="" measureGroup="Date" count="0" hidden="1"/>
    <cacheHierarchy uniqueName="[Measures].[__XL_Count planet]" caption="__XL_Count planet" measure="1" displayFolder="" measureGroup="planet" count="0" hidden="1"/>
    <cacheHierarchy uniqueName="[Measures].[__XL_Count utility]" caption="__XL_Count utility" measure="1" displayFolder="" measureGroup="utility" count="0" hidden="1"/>
    <cacheHierarchy uniqueName="[Measures].[__No measures defined]" caption="__No measures defined" measure="1" displayFolder="" count="0" hidden="1"/>
    <cacheHierarchy uniqueName="[Measures].[Sum of Amount]" caption="Sum of Amount" measure="1" displayFolder="" measureGroup="Production  3"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Alarm  3"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KPI]" caption="Count of KPI" measure="1" displayFolder="" measureGroup="Alarm  3" count="0" hidden="1">
      <extLst>
        <ext xmlns:x15="http://schemas.microsoft.com/office/spreadsheetml/2010/11/main" uri="{B97F6D7D-B522-45F9-BDA1-12C45D357490}">
          <x15:cacheHierarchy aggregatedColumn="1"/>
        </ext>
      </extLst>
    </cacheHierarchy>
    <cacheHierarchy uniqueName="[Measures].[Sum of Amount 3]" caption="Sum of Amount 3" measure="1" displayFolder="" measureGroup="Utility  3" count="0" hidden="1">
      <extLst>
        <ext xmlns:x15="http://schemas.microsoft.com/office/spreadsheetml/2010/11/main" uri="{B97F6D7D-B522-45F9-BDA1-12C45D357490}">
          <x15:cacheHierarchy aggregatedColumn="22"/>
        </ext>
      </extLst>
    </cacheHierarchy>
    <cacheHierarchy uniqueName="[Measures].[Count of Production(MT)]" caption="Count of Production(MT)" measure="1" displayFolder="" measureGroup="specific  3" count="0" hidden="1">
      <extLst>
        <ext xmlns:x15="http://schemas.microsoft.com/office/spreadsheetml/2010/11/main" uri="{B97F6D7D-B522-45F9-BDA1-12C45D357490}">
          <x15:cacheHierarchy aggregatedColumn="15"/>
        </ext>
      </extLst>
    </cacheHierarchy>
    <cacheHierarchy uniqueName="[Measures].[Count of Specific Consumption]" caption="Count of Specific Consumption" measure="1" displayFolder="" measureGroup="specific  3" count="0" hidden="1">
      <extLst>
        <ext xmlns:x15="http://schemas.microsoft.com/office/spreadsheetml/2010/11/main" uri="{B97F6D7D-B522-45F9-BDA1-12C45D357490}">
          <x15:cacheHierarchy aggregatedColumn="16"/>
        </ext>
      </extLst>
    </cacheHierarchy>
    <cacheHierarchy uniqueName="[Measures].[Sum of Production(MT)]" caption="Sum of Production(MT)" measure="1" displayFolder="" measureGroup="specific  3" count="0" hidden="1">
      <extLst>
        <ext xmlns:x15="http://schemas.microsoft.com/office/spreadsheetml/2010/11/main" uri="{B97F6D7D-B522-45F9-BDA1-12C45D357490}">
          <x15:cacheHierarchy aggregatedColumn="15"/>
        </ext>
      </extLst>
    </cacheHierarchy>
    <cacheHierarchy uniqueName="[Measures].[Sum of Specific Consumption]" caption="Sum of Specific Consumption" measure="1" displayFolder="" measureGroup="specific  3" count="0" hidden="1">
      <extLst>
        <ext xmlns:x15="http://schemas.microsoft.com/office/spreadsheetml/2010/11/main" uri="{B97F6D7D-B522-45F9-BDA1-12C45D357490}">
          <x15:cacheHierarchy aggregatedColumn="16"/>
        </ext>
      </extLst>
    </cacheHierarchy>
  </cacheHierarchies>
  <kpis count="0"/>
  <dimensions count="8">
    <dimension name="Alarm  3" uniqueName="[Alarm  3]" caption="Alarm  3"/>
    <dimension name="Date" uniqueName="[Date]" caption="Date"/>
    <dimension measure="1" name="Measures" uniqueName="[Measures]" caption="Measures"/>
    <dimension name="planet" uniqueName="[planet]" caption="planet"/>
    <dimension name="Production  3" uniqueName="[Production  3]" caption="Production  3"/>
    <dimension name="specific  3" uniqueName="[specific  3]" caption="specific  3"/>
    <dimension name="utility" uniqueName="[utility]" caption="utility"/>
    <dimension name="Utility  3" uniqueName="[Utility  3]" caption="Utility  3"/>
  </dimensions>
  <measureGroups count="7">
    <measureGroup name="Alarm  3" caption="Alarm  3"/>
    <measureGroup name="Date" caption="Date"/>
    <measureGroup name="planet" caption="planet"/>
    <measureGroup name="Production  3" caption="Production  3"/>
    <measureGroup name="specific  3" caption="specific  3"/>
    <measureGroup name="utility" caption="utility"/>
    <measureGroup name="Utility  3" caption="Utility  3"/>
  </measureGroups>
  <maps count="17">
    <map measureGroup="0" dimension="0"/>
    <map measureGroup="0" dimension="1"/>
    <map measureGroup="0" dimension="3"/>
    <map measureGroup="1" dimension="1"/>
    <map measureGroup="2" dimension="3"/>
    <map measureGroup="3" dimension="1"/>
    <map measureGroup="3" dimension="3"/>
    <map measureGroup="3" dimension="4"/>
    <map measureGroup="4" dimension="1"/>
    <map measureGroup="4" dimension="3"/>
    <map measureGroup="4" dimension="5"/>
    <map measureGroup="4" dimension="6"/>
    <map measureGroup="5" dimension="6"/>
    <map measureGroup="6" dimension="1"/>
    <map measureGroup="6" dimension="3"/>
    <map measureGroup="6" dimension="6"/>
    <map measureGroup="6" dimension="7"/>
  </maps>
  <extLst>
    <ext xmlns:x14="http://schemas.microsoft.com/office/spreadsheetml/2009/9/main" uri="{725AE2AE-9491-48be-B2B4-4EB974FC3084}">
      <x14:pivotCacheDefinition pivotCacheId="16430458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65.826292939812" backgroundQuery="1" createdVersion="8" refreshedVersion="8" minRefreshableVersion="3" recordCount="0" supportSubquery="1" supportAdvancedDrill="1" xr:uid="{0D74BFF7-CAC4-4EAB-ADC0-13CC12CCCA73}">
  <cacheSource type="external" connectionId="10">
    <extLst>
      <ext xmlns:x14="http://schemas.microsoft.com/office/spreadsheetml/2009/9/main" uri="{F057638F-6D5F-4e77-A914-E7F072B9BCA8}">
        <x14:sourceConnection name="ThisWorkbookDataModel"/>
      </ext>
    </extLst>
  </cacheSource>
  <cacheFields count="3">
    <cacheField name="[Measures].[Sum of Production(MT)]" caption="Sum of Production(MT)" numFmtId="0" hierarchy="37" level="32767"/>
    <cacheField name="[specific  3].[Plant].[Plant]" caption="Plant" numFmtId="0" hierarchy="11" level="1">
      <sharedItems count="3">
        <s v="HDPE"/>
        <s v="LLDPE"/>
        <s v="PP"/>
      </sharedItems>
    </cacheField>
    <cacheField name="[Date].[Dates].[Dates]" caption="Dates" numFmtId="0" hierarchy="4" level="1">
      <sharedItems containsSemiMixedTypes="0" containsNonDate="0" containsString="0"/>
    </cacheField>
  </cacheFields>
  <cacheHierarchies count="39">
    <cacheHierarchy uniqueName="[Alarm  3].[Plant]" caption="Plant" attribute="1" defaultMemberUniqueName="[Alarm  3].[Plant].[All]" allUniqueName="[Alarm  3].[Plant].[All]" dimensionUniqueName="[Alarm  3]" displayFolder="" count="0" memberValueDatatype="130" unbalanced="0"/>
    <cacheHierarchy uniqueName="[Alarm  3].[KPI]" caption="KPI" attribute="1" defaultMemberUniqueName="[Alarm  3].[KPI].[All]" allUniqueName="[Alarm  3].[KPI].[All]" dimensionUniqueName="[Alarm  3]" displayFolder="" count="0" memberValueDatatype="130" unbalanced="0"/>
    <cacheHierarchy uniqueName="[Alarm  3].[Date]" caption="Date" attribute="1" time="1" defaultMemberUniqueName="[Alarm  3].[Date].[All]" allUniqueName="[Alarm  3].[Date].[All]" dimensionUniqueName="[Alarm  3]" displayFolder="" count="0" memberValueDatatype="7" unbalanced="0"/>
    <cacheHierarchy uniqueName="[Alarm  3].[Amount]" caption="Amount" attribute="1" defaultMemberUniqueName="[Alarm  3].[Amount].[All]" allUniqueName="[Alarm  3].[Amount].[All]" dimensionUniqueName="[Alarm  3]" displayFolder="" count="0" memberValueDatatype="5" unbalanced="0"/>
    <cacheHierarchy uniqueName="[Date].[Dates]" caption="Dates" attribute="1" time="1" defaultMemberUniqueName="[Date].[Dates].[All]" allUniqueName="[Date].[Dates].[All]" dimensionUniqueName="[Date]" displayFolder="" count="2" memberValueDatatype="7" unbalanced="0">
      <fieldsUsage count="2">
        <fieldUsage x="-1"/>
        <fieldUsage x="2"/>
      </fieldsUsage>
    </cacheHierarchy>
    <cacheHierarchy uniqueName="[planet].[planet]" caption="planet" attribute="1" defaultMemberUniqueName="[planet].[planet].[All]" allUniqueName="[planet].[planet].[All]" dimensionUniqueName="[planet]" displayFolder="" count="2" memberValueDatatype="130" unbalanced="0"/>
    <cacheHierarchy uniqueName="[Production  3].[Plant]" caption="Plant" attribute="1" defaultMemberUniqueName="[Production  3].[Plant].[All]" allUniqueName="[Production  3].[Plant].[All]" dimensionUniqueName="[Production  3]" displayFolder="" count="0" memberValueDatatype="130" unbalanced="0"/>
    <cacheHierarchy uniqueName="[Production  3].[Metric]" caption="Metric" attribute="1" defaultMemberUniqueName="[Production  3].[Metric].[All]" allUniqueName="[Production  3].[Metric].[All]" dimensionUniqueName="[Production  3]" displayFolder="" count="0" memberValueDatatype="130" unbalanced="0"/>
    <cacheHierarchy uniqueName="[Production  3].[Units]" caption="Units" attribute="1" defaultMemberUniqueName="[Production  3].[Units].[All]" allUniqueName="[Production  3].[Units].[All]" dimensionUniqueName="[Production  3]" displayFolder="" count="0" memberValueDatatype="130" unbalanced="0"/>
    <cacheHierarchy uniqueName="[Production  3].[Date]" caption="Date" attribute="1" time="1" defaultMemberUniqueName="[Production  3].[Date].[All]" allUniqueName="[Production  3].[Date].[All]" dimensionUniqueName="[Production  3]" displayFolder="" count="0" memberValueDatatype="7" unbalanced="0"/>
    <cacheHierarchy uniqueName="[Production  3].[Amount]" caption="Amount" attribute="1" defaultMemberUniqueName="[Production  3].[Amount].[All]" allUniqueName="[Production  3].[Amount].[All]" dimensionUniqueName="[Production  3]" displayFolder="" count="0" memberValueDatatype="5" unbalanced="0"/>
    <cacheHierarchy uniqueName="[specific  3].[Plant]" caption="Plant" attribute="1" defaultMemberUniqueName="[specific  3].[Plant].[All]" allUniqueName="[specific  3].[Plant].[All]" dimensionUniqueName="[specific  3]" displayFolder="" count="2" memberValueDatatype="130" unbalanced="0">
      <fieldsUsage count="2">
        <fieldUsage x="-1"/>
        <fieldUsage x="1"/>
      </fieldsUsage>
    </cacheHierarchy>
    <cacheHierarchy uniqueName="[specific  3].[Utility Name]" caption="Utility Name" attribute="1" defaultMemberUniqueName="[specific  3].[Utility Name].[All]" allUniqueName="[specific  3].[Utility Name].[All]" dimensionUniqueName="[specific  3]" displayFolder="" count="0" memberValueDatatype="130" unbalanced="0"/>
    <cacheHierarchy uniqueName="[specific  3].[Specific Consumption Unit]" caption="Specific Consumption Unit" attribute="1" defaultMemberUniqueName="[specific  3].[Specific Consumption Unit].[All]" allUniqueName="[specific  3].[Specific Consumption Unit].[All]" dimensionUniqueName="[specific  3]" displayFolder="" count="2" memberValueDatatype="130" unbalanced="0"/>
    <cacheHierarchy uniqueName="[specific  3].[Date]" caption="Date" attribute="1" time="1" defaultMemberUniqueName="[specific  3].[Date].[All]" allUniqueName="[specific  3].[Date].[All]" dimensionUniqueName="[specific  3]" displayFolder="" count="0" memberValueDatatype="7" unbalanced="0"/>
    <cacheHierarchy uniqueName="[specific  3].[Production(MT)]" caption="Production(MT)" attribute="1" defaultMemberUniqueName="[specific  3].[Production(MT)].[All]" allUniqueName="[specific  3].[Production(MT)].[All]" dimensionUniqueName="[specific  3]" displayFolder="" count="0" memberValueDatatype="5" unbalanced="0"/>
    <cacheHierarchy uniqueName="[specific  3].[Specific Consumption]" caption="Specific Consumption" attribute="1" defaultMemberUniqueName="[specific  3].[Specific Consumption].[All]" allUniqueName="[specific  3].[Specific Consumption].[All]" dimensionUniqueName="[specific  3]" displayFolder="" count="0" memberValueDatatype="5" unbalanced="0"/>
    <cacheHierarchy uniqueName="[utility].[utility name]" caption="utility name" attribute="1" defaultMemberUniqueName="[utility].[utility name].[All]" allUniqueName="[utility].[utility name].[All]" dimensionUniqueName="[utility]" displayFolder="" count="2" memberValueDatatype="130" unbalanced="0"/>
    <cacheHierarchy uniqueName="[Utility  3].[Plant]" caption="Plant" attribute="1" defaultMemberUniqueName="[Utility  3].[Plant].[All]" allUniqueName="[Utility  3].[Plant].[All]" dimensionUniqueName="[Utility  3]" displayFolder="" count="0" memberValueDatatype="130" unbalanced="0"/>
    <cacheHierarchy uniqueName="[Utility  3].[Utility]" caption="Utility" attribute="1" defaultMemberUniqueName="[Utility  3].[Utility].[All]" allUniqueName="[Utility  3].[Utility].[All]" dimensionUniqueName="[Utility  3]" displayFolder="" count="0" memberValueDatatype="130" unbalanced="0"/>
    <cacheHierarchy uniqueName="[Utility  3].[Units]" caption="Units" attribute="1" defaultMemberUniqueName="[Utility  3].[Units].[All]" allUniqueName="[Utility  3].[Units].[All]" dimensionUniqueName="[Utility  3]" displayFolder="" count="0" memberValueDatatype="130" unbalanced="0"/>
    <cacheHierarchy uniqueName="[Utility  3].[Date]" caption="Date" attribute="1" time="1" defaultMemberUniqueName="[Utility  3].[Date].[All]" allUniqueName="[Utility  3].[Date].[All]" dimensionUniqueName="[Utility  3]" displayFolder="" count="0" memberValueDatatype="7" unbalanced="0"/>
    <cacheHierarchy uniqueName="[Utility  3].[Amount]" caption="Amount" attribute="1" defaultMemberUniqueName="[Utility  3].[Amount].[All]" allUniqueName="[Utility  3].[Amount].[All]" dimensionUniqueName="[Utility  3]" displayFolder="" count="0" memberValueDatatype="5" unbalanced="0"/>
    <cacheHierarchy uniqueName="[Measures].[__XL_Count Utility  3]" caption="__XL_Count Utility  3" measure="1" displayFolder="" measureGroup="Utility  3" count="0" hidden="1"/>
    <cacheHierarchy uniqueName="[Measures].[__XL_Count Production  3]" caption="__XL_Count Production  3" measure="1" displayFolder="" measureGroup="Production  3" count="0" hidden="1"/>
    <cacheHierarchy uniqueName="[Measures].[__XL_Count specific  3]" caption="__XL_Count specific  3" measure="1" displayFolder="" measureGroup="specific  3" count="0" hidden="1"/>
    <cacheHierarchy uniqueName="[Measures].[__XL_Count Alarm  3]" caption="__XL_Count Alarm  3" measure="1" displayFolder="" measureGroup="Alarm  3" count="0" hidden="1"/>
    <cacheHierarchy uniqueName="[Measures].[__XL_Count Table7]" caption="__XL_Count Table7" measure="1" displayFolder="" measureGroup="Date" count="0" hidden="1"/>
    <cacheHierarchy uniqueName="[Measures].[__XL_Count planet]" caption="__XL_Count planet" measure="1" displayFolder="" measureGroup="planet" count="0" hidden="1"/>
    <cacheHierarchy uniqueName="[Measures].[__XL_Count utility]" caption="__XL_Count utility" measure="1" displayFolder="" measureGroup="utility" count="0" hidden="1"/>
    <cacheHierarchy uniqueName="[Measures].[__No measures defined]" caption="__No measures defined" measure="1" displayFolder="" count="0" hidden="1"/>
    <cacheHierarchy uniqueName="[Measures].[Sum of Amount]" caption="Sum of Amount" measure="1" displayFolder="" measureGroup="Production  3"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Alarm  3" count="0" hidden="1">
      <extLst>
        <ext xmlns:x15="http://schemas.microsoft.com/office/spreadsheetml/2010/11/main" uri="{B97F6D7D-B522-45F9-BDA1-12C45D357490}">
          <x15:cacheHierarchy aggregatedColumn="3"/>
        </ext>
      </extLst>
    </cacheHierarchy>
    <cacheHierarchy uniqueName="[Measures].[Count of KPI]" caption="Count of KPI" measure="1" displayFolder="" measureGroup="Alarm  3" count="0" hidden="1">
      <extLst>
        <ext xmlns:x15="http://schemas.microsoft.com/office/spreadsheetml/2010/11/main" uri="{B97F6D7D-B522-45F9-BDA1-12C45D357490}">
          <x15:cacheHierarchy aggregatedColumn="1"/>
        </ext>
      </extLst>
    </cacheHierarchy>
    <cacheHierarchy uniqueName="[Measures].[Sum of Amount 3]" caption="Sum of Amount 3" measure="1" displayFolder="" measureGroup="Utility  3" count="0" hidden="1">
      <extLst>
        <ext xmlns:x15="http://schemas.microsoft.com/office/spreadsheetml/2010/11/main" uri="{B97F6D7D-B522-45F9-BDA1-12C45D357490}">
          <x15:cacheHierarchy aggregatedColumn="22"/>
        </ext>
      </extLst>
    </cacheHierarchy>
    <cacheHierarchy uniqueName="[Measures].[Count of Production(MT)]" caption="Count of Production(MT)" measure="1" displayFolder="" measureGroup="specific  3" count="0" hidden="1">
      <extLst>
        <ext xmlns:x15="http://schemas.microsoft.com/office/spreadsheetml/2010/11/main" uri="{B97F6D7D-B522-45F9-BDA1-12C45D357490}">
          <x15:cacheHierarchy aggregatedColumn="15"/>
        </ext>
      </extLst>
    </cacheHierarchy>
    <cacheHierarchy uniqueName="[Measures].[Count of Specific Consumption]" caption="Count of Specific Consumption" measure="1" displayFolder="" measureGroup="specific  3" count="0" hidden="1">
      <extLst>
        <ext xmlns:x15="http://schemas.microsoft.com/office/spreadsheetml/2010/11/main" uri="{B97F6D7D-B522-45F9-BDA1-12C45D357490}">
          <x15:cacheHierarchy aggregatedColumn="16"/>
        </ext>
      </extLst>
    </cacheHierarchy>
    <cacheHierarchy uniqueName="[Measures].[Sum of Production(MT)]" caption="Sum of Production(MT)" measure="1" displayFolder="" measureGroup="specific  3"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Specific Consumption]" caption="Sum of Specific Consumption" measure="1" displayFolder="" measureGroup="specific  3" count="0" hidden="1">
      <extLst>
        <ext xmlns:x15="http://schemas.microsoft.com/office/spreadsheetml/2010/11/main" uri="{B97F6D7D-B522-45F9-BDA1-12C45D357490}">
          <x15:cacheHierarchy aggregatedColumn="16"/>
        </ext>
      </extLst>
    </cacheHierarchy>
  </cacheHierarchies>
  <kpis count="0"/>
  <dimensions count="8">
    <dimension name="Alarm  3" uniqueName="[Alarm  3]" caption="Alarm  3"/>
    <dimension name="Date" uniqueName="[Date]" caption="Date"/>
    <dimension measure="1" name="Measures" uniqueName="[Measures]" caption="Measures"/>
    <dimension name="planet" uniqueName="[planet]" caption="planet"/>
    <dimension name="Production  3" uniqueName="[Production  3]" caption="Production  3"/>
    <dimension name="specific  3" uniqueName="[specific  3]" caption="specific  3"/>
    <dimension name="utility" uniqueName="[utility]" caption="utility"/>
    <dimension name="Utility  3" uniqueName="[Utility  3]" caption="Utility  3"/>
  </dimensions>
  <measureGroups count="7">
    <measureGroup name="Alarm  3" caption="Alarm  3"/>
    <measureGroup name="Date" caption="Date"/>
    <measureGroup name="planet" caption="planet"/>
    <measureGroup name="Production  3" caption="Production  3"/>
    <measureGroup name="specific  3" caption="specific  3"/>
    <measureGroup name="utility" caption="utility"/>
    <measureGroup name="Utility  3" caption="Utility  3"/>
  </measureGroups>
  <maps count="17">
    <map measureGroup="0" dimension="0"/>
    <map measureGroup="0" dimension="1"/>
    <map measureGroup="0" dimension="3"/>
    <map measureGroup="1" dimension="1"/>
    <map measureGroup="2" dimension="3"/>
    <map measureGroup="3" dimension="1"/>
    <map measureGroup="3" dimension="3"/>
    <map measureGroup="3" dimension="4"/>
    <map measureGroup="4" dimension="1"/>
    <map measureGroup="4" dimension="3"/>
    <map measureGroup="4" dimension="5"/>
    <map measureGroup="4" dimension="6"/>
    <map measureGroup="5" dimension="6"/>
    <map measureGroup="6" dimension="1"/>
    <map measureGroup="6" dimension="3"/>
    <map measureGroup="6" dimension="6"/>
    <map measureGroup="6" dimension="7"/>
  </maps>
  <extLst>
    <ext xmlns:x14="http://schemas.microsoft.com/office/spreadsheetml/2009/9/main" uri="{725AE2AE-9491-48be-B2B4-4EB974FC3084}">
      <x14:pivotCacheDefinition pivotCacheId="8601341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65.847607754629" backgroundQuery="1" createdVersion="8" refreshedVersion="8" minRefreshableVersion="3" recordCount="0" supportSubquery="1" supportAdvancedDrill="1" xr:uid="{BC86B5BC-4A47-4087-908E-22690E7121F3}">
  <cacheSource type="external" connectionId="10">
    <extLst>
      <ext xmlns:x14="http://schemas.microsoft.com/office/spreadsheetml/2009/9/main" uri="{F057638F-6D5F-4e77-A914-E7F072B9BCA8}">
        <x14:sourceConnection name="ThisWorkbookDataModel"/>
      </ext>
    </extLst>
  </cacheSource>
  <cacheFields count="3">
    <cacheField name="[Measures].[Sum of Amount]" caption="Sum of Amount" numFmtId="0" hierarchy="31" level="32767"/>
    <cacheField name="[Production  3].[Plant].[Plant]" caption="Plant" numFmtId="0" hierarchy="6" level="1">
      <sharedItems count="3">
        <s v="HDPE"/>
        <s v="LLDPE"/>
        <s v="PP"/>
      </sharedItems>
    </cacheField>
    <cacheField name="[Date].[Dates].[Dates]" caption="Dates" numFmtId="0" hierarchy="4" level="1">
      <sharedItems containsSemiMixedTypes="0" containsNonDate="0" containsString="0"/>
    </cacheField>
  </cacheFields>
  <cacheHierarchies count="39">
    <cacheHierarchy uniqueName="[Alarm  3].[Plant]" caption="Plant" attribute="1" defaultMemberUniqueName="[Alarm  3].[Plant].[All]" allUniqueName="[Alarm  3].[Plant].[All]" dimensionUniqueName="[Alarm  3]" displayFolder="" count="0" memberValueDatatype="130" unbalanced="0"/>
    <cacheHierarchy uniqueName="[Alarm  3].[KPI]" caption="KPI" attribute="1" defaultMemberUniqueName="[Alarm  3].[KPI].[All]" allUniqueName="[Alarm  3].[KPI].[All]" dimensionUniqueName="[Alarm  3]" displayFolder="" count="0" memberValueDatatype="130" unbalanced="0"/>
    <cacheHierarchy uniqueName="[Alarm  3].[Date]" caption="Date" attribute="1" time="1" defaultMemberUniqueName="[Alarm  3].[Date].[All]" allUniqueName="[Alarm  3].[Date].[All]" dimensionUniqueName="[Alarm  3]" displayFolder="" count="0" memberValueDatatype="7" unbalanced="0"/>
    <cacheHierarchy uniqueName="[Alarm  3].[Amount]" caption="Amount" attribute="1" defaultMemberUniqueName="[Alarm  3].[Amount].[All]" allUniqueName="[Alarm  3].[Amount].[All]" dimensionUniqueName="[Alarm  3]" displayFolder="" count="0" memberValueDatatype="5" unbalanced="0"/>
    <cacheHierarchy uniqueName="[Date].[Dates]" caption="Dates" attribute="1" time="1" defaultMemberUniqueName="[Date].[Dates].[All]" allUniqueName="[Date].[Dates].[All]" dimensionUniqueName="[Date]" displayFolder="" count="2" memberValueDatatype="7" unbalanced="0">
      <fieldsUsage count="2">
        <fieldUsage x="-1"/>
        <fieldUsage x="2"/>
      </fieldsUsage>
    </cacheHierarchy>
    <cacheHierarchy uniqueName="[planet].[planet]" caption="planet" attribute="1" defaultMemberUniqueName="[planet].[planet].[All]" allUniqueName="[planet].[planet].[All]" dimensionUniqueName="[planet]" displayFolder="" count="2" memberValueDatatype="130" unbalanced="0"/>
    <cacheHierarchy uniqueName="[Production  3].[Plant]" caption="Plant" attribute="1" defaultMemberUniqueName="[Production  3].[Plant].[All]" allUniqueName="[Production  3].[Plant].[All]" dimensionUniqueName="[Production  3]" displayFolder="" count="2" memberValueDatatype="130" unbalanced="0">
      <fieldsUsage count="2">
        <fieldUsage x="-1"/>
        <fieldUsage x="1"/>
      </fieldsUsage>
    </cacheHierarchy>
    <cacheHierarchy uniqueName="[Production  3].[Metric]" caption="Metric" attribute="1" defaultMemberUniqueName="[Production  3].[Metric].[All]" allUniqueName="[Production  3].[Metric].[All]" dimensionUniqueName="[Production  3]" displayFolder="" count="0" memberValueDatatype="130" unbalanced="0"/>
    <cacheHierarchy uniqueName="[Production  3].[Units]" caption="Units" attribute="1" defaultMemberUniqueName="[Production  3].[Units].[All]" allUniqueName="[Production  3].[Units].[All]" dimensionUniqueName="[Production  3]" displayFolder="" count="0" memberValueDatatype="130" unbalanced="0"/>
    <cacheHierarchy uniqueName="[Production  3].[Date]" caption="Date" attribute="1" time="1" defaultMemberUniqueName="[Production  3].[Date].[All]" allUniqueName="[Production  3].[Date].[All]" dimensionUniqueName="[Production  3]" displayFolder="" count="2" memberValueDatatype="7" unbalanced="0"/>
    <cacheHierarchy uniqueName="[Production  3].[Amount]" caption="Amount" attribute="1" defaultMemberUniqueName="[Production  3].[Amount].[All]" allUniqueName="[Production  3].[Amount].[All]" dimensionUniqueName="[Production  3]" displayFolder="" count="0" memberValueDatatype="5" unbalanced="0"/>
    <cacheHierarchy uniqueName="[specific  3].[Plant]" caption="Plant" attribute="1" defaultMemberUniqueName="[specific  3].[Plant].[All]" allUniqueName="[specific  3].[Plant].[All]" dimensionUniqueName="[specific  3]" displayFolder="" count="0" memberValueDatatype="130" unbalanced="0"/>
    <cacheHierarchy uniqueName="[specific  3].[Utility Name]" caption="Utility Name" attribute="1" defaultMemberUniqueName="[specific  3].[Utility Name].[All]" allUniqueName="[specific  3].[Utility Name].[All]" dimensionUniqueName="[specific  3]" displayFolder="" count="0" memberValueDatatype="130" unbalanced="0"/>
    <cacheHierarchy uniqueName="[specific  3].[Specific Consumption Unit]" caption="Specific Consumption Unit" attribute="1" defaultMemberUniqueName="[specific  3].[Specific Consumption Unit].[All]" allUniqueName="[specific  3].[Specific Consumption Unit].[All]" dimensionUniqueName="[specific  3]" displayFolder="" count="0" memberValueDatatype="130" unbalanced="0"/>
    <cacheHierarchy uniqueName="[specific  3].[Date]" caption="Date" attribute="1" time="1" defaultMemberUniqueName="[specific  3].[Date].[All]" allUniqueName="[specific  3].[Date].[All]" dimensionUniqueName="[specific  3]" displayFolder="" count="0" memberValueDatatype="7" unbalanced="0"/>
    <cacheHierarchy uniqueName="[specific  3].[Production(MT)]" caption="Production(MT)" attribute="1" defaultMemberUniqueName="[specific  3].[Production(MT)].[All]" allUniqueName="[specific  3].[Production(MT)].[All]" dimensionUniqueName="[specific  3]" displayFolder="" count="0" memberValueDatatype="5" unbalanced="0"/>
    <cacheHierarchy uniqueName="[specific  3].[Specific Consumption]" caption="Specific Consumption" attribute="1" defaultMemberUniqueName="[specific  3].[Specific Consumption].[All]" allUniqueName="[specific  3].[Specific Consumption].[All]" dimensionUniqueName="[specific  3]" displayFolder="" count="0" memberValueDatatype="5" unbalanced="0"/>
    <cacheHierarchy uniqueName="[utility].[utility name]" caption="utility name" attribute="1" defaultMemberUniqueName="[utility].[utility name].[All]" allUniqueName="[utility].[utility name].[All]" dimensionUniqueName="[utility]" displayFolder="" count="2" memberValueDatatype="130" unbalanced="0"/>
    <cacheHierarchy uniqueName="[Utility  3].[Plant]" caption="Plant" attribute="1" defaultMemberUniqueName="[Utility  3].[Plant].[All]" allUniqueName="[Utility  3].[Plant].[All]" dimensionUniqueName="[Utility  3]" displayFolder="" count="0" memberValueDatatype="130" unbalanced="0"/>
    <cacheHierarchy uniqueName="[Utility  3].[Utility]" caption="Utility" attribute="1" defaultMemberUniqueName="[Utility  3].[Utility].[All]" allUniqueName="[Utility  3].[Utility].[All]" dimensionUniqueName="[Utility  3]" displayFolder="" count="0" memberValueDatatype="130" unbalanced="0"/>
    <cacheHierarchy uniqueName="[Utility  3].[Units]" caption="Units" attribute="1" defaultMemberUniqueName="[Utility  3].[Units].[All]" allUniqueName="[Utility  3].[Units].[All]" dimensionUniqueName="[Utility  3]" displayFolder="" count="0" memberValueDatatype="130" unbalanced="0"/>
    <cacheHierarchy uniqueName="[Utility  3].[Date]" caption="Date" attribute="1" time="1" defaultMemberUniqueName="[Utility  3].[Date].[All]" allUniqueName="[Utility  3].[Date].[All]" dimensionUniqueName="[Utility  3]" displayFolder="" count="0" memberValueDatatype="7" unbalanced="0"/>
    <cacheHierarchy uniqueName="[Utility  3].[Amount]" caption="Amount" attribute="1" defaultMemberUniqueName="[Utility  3].[Amount].[All]" allUniqueName="[Utility  3].[Amount].[All]" dimensionUniqueName="[Utility  3]" displayFolder="" count="0" memberValueDatatype="5" unbalanced="0"/>
    <cacheHierarchy uniqueName="[Measures].[__XL_Count Utility  3]" caption="__XL_Count Utility  3" measure="1" displayFolder="" measureGroup="Utility  3" count="0" hidden="1"/>
    <cacheHierarchy uniqueName="[Measures].[__XL_Count Production  3]" caption="__XL_Count Production  3" measure="1" displayFolder="" measureGroup="Production  3" count="0" hidden="1"/>
    <cacheHierarchy uniqueName="[Measures].[__XL_Count specific  3]" caption="__XL_Count specific  3" measure="1" displayFolder="" measureGroup="specific  3" count="0" hidden="1"/>
    <cacheHierarchy uniqueName="[Measures].[__XL_Count Alarm  3]" caption="__XL_Count Alarm  3" measure="1" displayFolder="" measureGroup="Alarm  3" count="0" hidden="1"/>
    <cacheHierarchy uniqueName="[Measures].[__XL_Count Table7]" caption="__XL_Count Table7" measure="1" displayFolder="" measureGroup="Date" count="0" hidden="1"/>
    <cacheHierarchy uniqueName="[Measures].[__XL_Count planet]" caption="__XL_Count planet" measure="1" displayFolder="" measureGroup="planet" count="0" hidden="1"/>
    <cacheHierarchy uniqueName="[Measures].[__XL_Count utility]" caption="__XL_Count utility" measure="1" displayFolder="" measureGroup="utility" count="0" hidden="1"/>
    <cacheHierarchy uniqueName="[Measures].[__No measures defined]" caption="__No measures defined" measure="1" displayFolder="" count="0" hidden="1"/>
    <cacheHierarchy uniqueName="[Measures].[Sum of Amount]" caption="Sum of Amount" measure="1" displayFolder="" measureGroup="Production  3"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Amount 2]" caption="Sum of Amount 2" measure="1" displayFolder="" measureGroup="Alarm  3" count="0" hidden="1">
      <extLst>
        <ext xmlns:x15="http://schemas.microsoft.com/office/spreadsheetml/2010/11/main" uri="{B97F6D7D-B522-45F9-BDA1-12C45D357490}">
          <x15:cacheHierarchy aggregatedColumn="3"/>
        </ext>
      </extLst>
    </cacheHierarchy>
    <cacheHierarchy uniqueName="[Measures].[Count of KPI]" caption="Count of KPI" measure="1" displayFolder="" measureGroup="Alarm  3" count="0" hidden="1">
      <extLst>
        <ext xmlns:x15="http://schemas.microsoft.com/office/spreadsheetml/2010/11/main" uri="{B97F6D7D-B522-45F9-BDA1-12C45D357490}">
          <x15:cacheHierarchy aggregatedColumn="1"/>
        </ext>
      </extLst>
    </cacheHierarchy>
    <cacheHierarchy uniqueName="[Measures].[Sum of Amount 3]" caption="Sum of Amount 3" measure="1" displayFolder="" measureGroup="Utility  3" count="0" hidden="1">
      <extLst>
        <ext xmlns:x15="http://schemas.microsoft.com/office/spreadsheetml/2010/11/main" uri="{B97F6D7D-B522-45F9-BDA1-12C45D357490}">
          <x15:cacheHierarchy aggregatedColumn="22"/>
        </ext>
      </extLst>
    </cacheHierarchy>
    <cacheHierarchy uniqueName="[Measures].[Count of Production(MT)]" caption="Count of Production(MT)" measure="1" displayFolder="" measureGroup="specific  3" count="0" hidden="1">
      <extLst>
        <ext xmlns:x15="http://schemas.microsoft.com/office/spreadsheetml/2010/11/main" uri="{B97F6D7D-B522-45F9-BDA1-12C45D357490}">
          <x15:cacheHierarchy aggregatedColumn="15"/>
        </ext>
      </extLst>
    </cacheHierarchy>
    <cacheHierarchy uniqueName="[Measures].[Count of Specific Consumption]" caption="Count of Specific Consumption" measure="1" displayFolder="" measureGroup="specific  3" count="0" hidden="1">
      <extLst>
        <ext xmlns:x15="http://schemas.microsoft.com/office/spreadsheetml/2010/11/main" uri="{B97F6D7D-B522-45F9-BDA1-12C45D357490}">
          <x15:cacheHierarchy aggregatedColumn="16"/>
        </ext>
      </extLst>
    </cacheHierarchy>
    <cacheHierarchy uniqueName="[Measures].[Sum of Production(MT)]" caption="Sum of Production(MT)" measure="1" displayFolder="" measureGroup="specific  3" count="0" hidden="1">
      <extLst>
        <ext xmlns:x15="http://schemas.microsoft.com/office/spreadsheetml/2010/11/main" uri="{B97F6D7D-B522-45F9-BDA1-12C45D357490}">
          <x15:cacheHierarchy aggregatedColumn="15"/>
        </ext>
      </extLst>
    </cacheHierarchy>
    <cacheHierarchy uniqueName="[Measures].[Sum of Specific Consumption]" caption="Sum of Specific Consumption" measure="1" displayFolder="" measureGroup="specific  3" count="0" hidden="1">
      <extLst>
        <ext xmlns:x15="http://schemas.microsoft.com/office/spreadsheetml/2010/11/main" uri="{B97F6D7D-B522-45F9-BDA1-12C45D357490}">
          <x15:cacheHierarchy aggregatedColumn="16"/>
        </ext>
      </extLst>
    </cacheHierarchy>
  </cacheHierarchies>
  <kpis count="0"/>
  <dimensions count="8">
    <dimension name="Alarm  3" uniqueName="[Alarm  3]" caption="Alarm  3"/>
    <dimension name="Date" uniqueName="[Date]" caption="Date"/>
    <dimension measure="1" name="Measures" uniqueName="[Measures]" caption="Measures"/>
    <dimension name="planet" uniqueName="[planet]" caption="planet"/>
    <dimension name="Production  3" uniqueName="[Production  3]" caption="Production  3"/>
    <dimension name="specific  3" uniqueName="[specific  3]" caption="specific  3"/>
    <dimension name="utility" uniqueName="[utility]" caption="utility"/>
    <dimension name="Utility  3" uniqueName="[Utility  3]" caption="Utility  3"/>
  </dimensions>
  <measureGroups count="7">
    <measureGroup name="Alarm  3" caption="Alarm  3"/>
    <measureGroup name="Date" caption="Date"/>
    <measureGroup name="planet" caption="planet"/>
    <measureGroup name="Production  3" caption="Production  3"/>
    <measureGroup name="specific  3" caption="specific  3"/>
    <measureGroup name="utility" caption="utility"/>
    <measureGroup name="Utility  3" caption="Utility  3"/>
  </measureGroups>
  <maps count="17">
    <map measureGroup="0" dimension="0"/>
    <map measureGroup="0" dimension="1"/>
    <map measureGroup="0" dimension="3"/>
    <map measureGroup="1" dimension="1"/>
    <map measureGroup="2" dimension="3"/>
    <map measureGroup="3" dimension="1"/>
    <map measureGroup="3" dimension="3"/>
    <map measureGroup="3" dimension="4"/>
    <map measureGroup="4" dimension="1"/>
    <map measureGroup="4" dimension="3"/>
    <map measureGroup="4" dimension="5"/>
    <map measureGroup="4" dimension="6"/>
    <map measureGroup="5" dimension="6"/>
    <map measureGroup="6" dimension="1"/>
    <map measureGroup="6" dimension="3"/>
    <map measureGroup="6" dimension="6"/>
    <map measureGroup="6" dimension="7"/>
  </maps>
  <extLst>
    <ext xmlns:x14="http://schemas.microsoft.com/office/spreadsheetml/2009/9/main" uri="{725AE2AE-9491-48be-B2B4-4EB974FC3084}">
      <x14:pivotCacheDefinition pivotCacheId="18428381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24DFD2-ECDA-4E12-99EC-55F7E5EEFE61}" name="PivotChartTable10"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B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duction(M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multipleItemSelectionAllowed="1" dragToData="1">
      <members count="1" level="1">
        <member name="[Date].[Dates].&amp;[2025-10-08T00:00:0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860134116">
        <x15:pivotRow count="1">
          <x15:c>
            <x15:v>10757.219999999996</x15:v>
          </x15:c>
        </x15:pivotRow>
        <x15:pivotRow count="1">
          <x15:c>
            <x15:v>10252</x15:v>
          </x15:c>
        </x15:pivotRow>
        <x15:pivotRow count="1">
          <x15:c>
            <x15:v>9510</x15:v>
          </x15:c>
        </x15:pivotRow>
        <x15:pivotRow count="1">
          <x15:c>
            <x15:v>30519.220000000005</x15:v>
          </x15:c>
        </x15:pivotRow>
      </x15:pivotTableData>
    </ext>
    <ext xmlns:x15="http://schemas.microsoft.com/office/spreadsheetml/2010/11/main" uri="{E67621CE-5B39-4880-91FE-76760E9C1902}">
      <x15:pivotTableUISettings>
        <x15:activeTabTopLevelEntity name="[specific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16781D-917B-4DE7-A304-BC7744628249}" name="PivotChar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13"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multipleItemSelectionAllowed="1" dragToData="1">
      <members count="1" level="1">
        <member name="[Date].[Dates].&amp;[2025-10-08T00:00:0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1" cacheId="1643045835">
        <x15:pivotRow count="1">
          <x15:c>
            <x15:v>61.57</x15:v>
          </x15:c>
        </x15:pivotRow>
        <x15:pivotRow count="1">
          <x15:c>
            <x15:v>130</x15:v>
          </x15:c>
        </x15:pivotRow>
        <x15:pivotRow count="1">
          <x15:c>
            <x15:v>5216</x15:v>
          </x15:c>
        </x15:pivotRow>
        <x15:pivotRow count="1">
          <x15:c>
            <x15:v>5370</x15:v>
          </x15:c>
        </x15:pivotRow>
        <x15:pivotRow count="1">
          <x15:c>
            <x15:v>418.43</x15:v>
          </x15:c>
        </x15:pivotRow>
        <x15:pivotRow count="1">
          <x15:c>
            <x15:v>2112</x15:v>
          </x15:c>
        </x15:pivotRow>
        <x15:pivotRow count="1">
          <x15:c>
            <x15:v>30</x15:v>
          </x15:c>
        </x15:pivotRow>
        <x15:pivotRow count="1">
          <x15:c>
            <x15:v>3</x15:v>
          </x15:c>
        </x15:pivotRow>
        <x15:pivotRow count="1">
          <x15:c>
            <x15:v>171024</x15:v>
          </x15:c>
        </x15:pivotRow>
        <x15:pivotRow count="1">
          <x15:c>
            <x15:v>11124</x15:v>
          </x15:c>
        </x15:pivotRow>
        <x15:pivotRow count="1">
          <x15:c>
            <x15:v>200138</x15:v>
          </x15:c>
        </x15:pivotRow>
        <x15:pivotRow count="1">
          <x15:c>
            <x15:v>395627</x15:v>
          </x15:c>
        </x15:pivotRow>
      </x15:pivotTableData>
    </ext>
    <ext xmlns:x15="http://schemas.microsoft.com/office/spreadsheetml/2010/11/main" uri="{E67621CE-5B39-4880-91FE-76760E9C1902}">
      <x15:pivotTableUISettings>
        <x15:activeTabTopLevelEntity name="[Alarm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406F0E-CD41-4686-9F98-451AF4FE9D45}" name="PivotChar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13"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multipleItemSelectionAllowed="1" dragToData="1">
      <members count="1" level="1">
        <member name="[Date].[Dates].&amp;[2025-10-08T00:00:0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1" cacheId="236110448">
        <x15:pivotRow count="1">
          <x15:c>
            <x15:v>435</x15:v>
          </x15:c>
        </x15:pivotRow>
        <x15:pivotRow count="1">
          <x15:c>
            <x15:v>571.68600000000004</x15:v>
          </x15:c>
        </x15:pivotRow>
        <x15:pivotRow count="1">
          <x15:c>
            <x15:v>390</x15:v>
          </x15:c>
        </x15:pivotRow>
        <x15:pivotRow count="1">
          <x15:c>
            <x15:v>79</x15:v>
          </x15:c>
        </x15:pivotRow>
        <x15:pivotRow count="1">
          <x15:c>
            <x15:v>87.843999999999994</x15:v>
          </x15:c>
        </x15:pivotRow>
        <x15:pivotRow count="1">
          <x15:c>
            <x15:v>643.29999999999995</x15:v>
          </x15:c>
        </x15:pivotRow>
        <x15:pivotRow count="1">
          <x15:c>
            <x15:v>225</x15:v>
          </x15:c>
        </x15:pivotRow>
        <x15:pivotRow count="1">
          <x15:c>
            <x15:v>88.153999999999996</x15:v>
          </x15:c>
        </x15:pivotRow>
        <x15:pivotRow count="1">
          <x15:c>
            <x15:v>28.78</x15:v>
          </x15:c>
        </x15:pivotRow>
        <x15:pivotRow count="1">
          <x15:c>
            <x15:v>19.190000000000001</x15:v>
          </x15:c>
        </x15:pivotRow>
        <x15:pivotRow count="1">
          <x15:c>
            <x15:v>824</x15:v>
          </x15:c>
        </x15:pivotRow>
        <x15:pivotRow count="1">
          <x15:c>
            <x15:v>3391.9540000000002</x15:v>
          </x15:c>
        </x15:pivotRow>
      </x15:pivotTableData>
    </ext>
    <ext xmlns:x15="http://schemas.microsoft.com/office/spreadsheetml/2010/11/main" uri="{E67621CE-5B39-4880-91FE-76760E9C1902}">
      <x15:pivotTableUISettings>
        <x15:activeTabTopLevelEntity name="[Utility  3]"/>
        <x15:activeTabTopLevelEntity name="[utility]"/>
        <x15:activeTabTopLevelEntity name="[planet]"/>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45350D-46C9-4BAF-BF46-96C33C33C829}" name="PivotChar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13"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Amount" fld="1" baseField="0" baseItem="0"/>
  </dataFields>
  <chartFormats count="1">
    <chartFormat chart="0" format="1"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multipleItemSelectionAllowed="1" dragToData="1">
      <members count="1" level="1">
        <member name="[Date].[Dates].&amp;[2025-10-08T00:00:0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1" cacheId="1067709731">
        <x15:pivotRow count="1">
          <x15:c>
            <x15:v>61.57</x15:v>
          </x15:c>
        </x15:pivotRow>
        <x15:pivotRow count="1">
          <x15:c>
            <x15:v>130</x15:v>
          </x15:c>
        </x15:pivotRow>
        <x15:pivotRow count="1">
          <x15:c>
            <x15:v>5216</x15:v>
          </x15:c>
        </x15:pivotRow>
        <x15:pivotRow count="1">
          <x15:c>
            <x15:v>5370</x15:v>
          </x15:c>
        </x15:pivotRow>
        <x15:pivotRow count="1">
          <x15:c>
            <x15:v>418.43</x15:v>
          </x15:c>
        </x15:pivotRow>
        <x15:pivotRow count="1">
          <x15:c>
            <x15:v>2112</x15:v>
          </x15:c>
        </x15:pivotRow>
        <x15:pivotRow count="1">
          <x15:c>
            <x15:v>30</x15:v>
          </x15:c>
        </x15:pivotRow>
        <x15:pivotRow count="1">
          <x15:c>
            <x15:v>3</x15:v>
          </x15:c>
        </x15:pivotRow>
        <x15:pivotRow count="1">
          <x15:c>
            <x15:v>171024</x15:v>
          </x15:c>
        </x15:pivotRow>
        <x15:pivotRow count="1">
          <x15:c>
            <x15:v>11124</x15:v>
          </x15:c>
        </x15:pivotRow>
        <x15:pivotRow count="1">
          <x15:c>
            <x15:v>200138</x15:v>
          </x15:c>
        </x15:pivotRow>
        <x15:pivotRow count="1">
          <x15:c>
            <x15:v>395627</x15:v>
          </x15:c>
        </x15:pivotRow>
      </x15:pivotTableData>
    </ext>
    <ext xmlns:x15="http://schemas.microsoft.com/office/spreadsheetml/2010/11/main" uri="{E67621CE-5B39-4880-91FE-76760E9C1902}">
      <x15:pivotTableUISettings>
        <x15:activeTabTopLevelEntity name="[Alarm  3]"/>
        <x15:activeTabTopLevelEntity name="[planet]"/>
        <x15:activeTabTopLevelEntity name="[utility]"/>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198088-8A6A-4E02-8DDA-37A86608FCB6}" name="PivotChar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s>
  <pivotHierarchies count="39">
    <pivotHierarchy dragToData="1"/>
    <pivotHierarchy dragToData="1"/>
    <pivotHierarchy dragToData="1"/>
    <pivotHierarchy dragToData="1"/>
    <pivotHierarchy multipleItemSelectionAllowed="1" dragToData="1">
      <members count="1" level="1">
        <member name="[Date].[Dates].&amp;[2025-10-08T00:00:0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588774407">
        <x15:pivotRow count="1">
          <x15:c>
            <x15:v>0.30573874651408522</x15:v>
          </x15:c>
        </x15:pivotRow>
        <x15:pivotRow count="1">
          <x15:c>
            <x15:v>0.34716755206646538</x15:v>
          </x15:c>
        </x15:pivotRow>
        <x15:pivotRow count="1">
          <x15:c>
            <x15:v>0.34709370141944934</x15:v>
          </x15:c>
        </x15:pivotRow>
        <x15:pivotRow count="1">
          <x15:c>
            <x15:v>1</x15:v>
          </x15:c>
        </x15:pivotRow>
      </x15:pivotTableData>
    </ext>
    <ext xmlns:x15="http://schemas.microsoft.com/office/spreadsheetml/2010/11/main" uri="{E67621CE-5B39-4880-91FE-76760E9C1902}">
      <x15:pivotTableUISettings>
        <x15:activeTabTopLevelEntity name="[Production  3]"/>
        <x15:activeTabTopLevelEntity name="[Date]"/>
        <x15:activeTabTopLevelEntity name="[planet]"/>
        <x15:activeTabTopLevelEntity name="[uti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9D1081-8C56-4B80-995A-8D7EC4A34D09}" name="PivotChartTable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multipleItemSelectionAllowed="1" dragToData="1">
      <members count="1" level="1">
        <member name="[Date].[Dates].&amp;[2025-10-08T00:00:0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842838177">
        <x15:pivotRow count="1">
          <x15:c>
            <x15:v>2606.7950000000001</x15:v>
          </x15:c>
        </x15:pivotRow>
        <x15:pivotRow count="1">
          <x15:c>
            <x15:v>2960.0259999999998</x15:v>
          </x15:c>
        </x15:pivotRow>
        <x15:pivotRow count="1">
          <x15:c>
            <x15:v>2959.3963333333336</x15:v>
          </x15:c>
        </x15:pivotRow>
        <x15:pivotRow count="1">
          <x15:c>
            <x15:v>8526.217333333334</x15:v>
          </x15:c>
        </x15:pivotRow>
      </x15:pivotTableData>
    </ext>
    <ext xmlns:x15="http://schemas.microsoft.com/office/spreadsheetml/2010/11/main" uri="{E67621CE-5B39-4880-91FE-76760E9C1902}">
      <x15:pivotTableUISettings>
        <x15:activeTabTopLevelEntity name="[Production  3]"/>
        <x15:activeTabTopLevelEntity name="[Date]"/>
        <x15:activeTabTopLevelEntity name="[planet]"/>
        <x15:activeTabTopLevelEntity name="[utilit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 xr10:uid="{F6632134-5BD3-42E0-9914-076B3F85E2C8}" sourceName="[Date].[Dates]">
  <data>
    <olap pivotCacheId="1984018668">
      <levels count="2">
        <level uniqueName="[Date].[Dates].[(All)]" sourceCaption="(All)" count="0"/>
        <level uniqueName="[Date].[Dates].[Dates]" sourceCaption="Dates" count="15">
          <ranges>
            <range startItem="0">
              <i n="[Date].[Dates].&amp;[2025-10-01T00:00:00]" c="10/1/2025"/>
              <i n="[Date].[Dates].&amp;[2025-10-02T00:00:00]" c="10/2/2025"/>
              <i n="[Date].[Dates].&amp;[2025-10-03T00:00:00]" c="10/3/2025"/>
              <i n="[Date].[Dates].&amp;[2025-10-04T00:00:00]" c="10/4/2025"/>
              <i n="[Date].[Dates].&amp;[2025-10-05T00:00:00]" c="10/5/2025"/>
              <i n="[Date].[Dates].&amp;[2025-10-06T00:00:00]" c="10/6/2025"/>
              <i n="[Date].[Dates].&amp;[2025-10-07T00:00:00]" c="10/7/2025"/>
              <i n="[Date].[Dates].&amp;[2025-10-08T00:00:00]" c="10/8/2025"/>
              <i n="[Date].[Dates].&amp;[2025-10-09T00:00:00]" c="10/9/2025"/>
              <i n="[Date].[Dates].&amp;[2025-10-10T00:00:00]" c="10/10/2025"/>
              <i n="[Date].[Dates].&amp;[2025-10-11T00:00:00]" c="10/11/2025"/>
              <i n="[Date].[Dates].&amp;[2025-10-12T00:00:00]" c="10/12/2025"/>
              <i n="[Date].[Dates].&amp;[2025-10-13T00:00:00]" c="10/13/2025"/>
              <i n="[Date].[Dates].&amp;[2025-10-14T00:00:00]" c="10/14/2025"/>
              <i n="[Date].[Dates].&amp;[2025-10-15T00:00:00]" c="10/15/2025"/>
            </range>
          </ranges>
        </level>
      </levels>
      <selections count="1">
        <selection n="[Date].[Dates].&amp;[2025-10-08T00:00:00]"/>
      </selections>
    </olap>
  </data>
  <extLst>
    <x:ext xmlns:x15="http://schemas.microsoft.com/office/spreadsheetml/2010/11/main" uri="{03082B11-2C62-411c-B77F-237D8FCFBE4C}">
      <x15:slicerCachePivotTables>
        <pivotTable tabId="4294967295" name="PivotChartTable1"/>
        <pivotTable tabId="4294967295" name="PivotChartTable4"/>
        <pivotTable tabId="4294967295" name="PivotChartTable5"/>
        <pivotTable tabId="4294967295" name="PivotChartTable6"/>
        <pivotTable tabId="4294967295" name="PivotChartTable7"/>
        <pivotTable tabId="4294967295" name="PivotChartTable10"/>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et" xr10:uid="{FE0C0CC4-1DFD-4988-866D-6382390759F5}" sourceName="[planet].[planet]">
  <data>
    <olap pivotCacheId="1984018668">
      <levels count="2">
        <level uniqueName="[planet].[planet].[(All)]" sourceCaption="(All)" count="0"/>
        <level uniqueName="[planet].[planet].[planet]" sourceCaption="planet" count="3">
          <ranges>
            <range startItem="0">
              <i n="[planet].[planet].&amp;[HDPE]" c="HDPE"/>
              <i n="[planet].[planet].&amp;[LLDPE]" c="LLDPE"/>
              <i n="[planet].[planet].&amp;[PP]" c="PP"/>
            </range>
          </ranges>
        </level>
      </levels>
      <selections count="1">
        <selection n="[planet].[planet].[All]"/>
      </selections>
    </olap>
  </data>
  <extLst>
    <x:ext xmlns:x15="http://schemas.microsoft.com/office/spreadsheetml/2010/11/main" uri="{03082B11-2C62-411c-B77F-237D8FCFBE4C}">
      <x15:slicerCachePivotTables>
        <pivotTable tabId="4294967295" name="PivotChartTable1"/>
        <pivotTable tabId="4294967295" name="PivotChartTable4"/>
        <pivotTable tabId="4294967295" name="PivotChartTable5"/>
        <pivotTable tabId="4294967295" name="PivotChartTable6"/>
        <pivotTable tabId="4294967295" name="PivotChartTable7"/>
        <pivotTable tabId="4294967295" name="PivotChartTable10"/>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tility_name" xr10:uid="{C004569A-F4E3-4067-8CC7-59DD3AA489A8}" sourceName="[utility].[utility name]">
  <data>
    <olap pivotCacheId="1984018668">
      <levels count="2">
        <level uniqueName="[utility].[utility name].[(All)]" sourceCaption="(All)" count="0"/>
        <level uniqueName="[utility].[utility name].[utility name]" sourceCaption="utility name" count="12" sortOrder="descending">
          <ranges>
            <range startItem="0">
              <i n="[utility].[utility name].&amp;[Power]" c="Power"/>
              <i n="[utility].[utility name].&amp;[Plant Water]" c="Plant Water"/>
              <i n="[utility].[utility name].&amp;[Plant Air]" c="Plant Air"/>
              <i n="[utility].[utility name].&amp;[Nitrogen]" c="Nitrogen"/>
              <i n="[utility].[utility name].&amp;[MP Steam]" c="MP Steam"/>
              <i n="[utility].[utility name].&amp;[LP Steam]" c="LP Steam"/>
              <i n="[utility].[utility name].&amp;[Instrument air]" c="Instrument air"/>
              <i n="[utility].[utility name].&amp;[HP Steam]" c="HP Steam"/>
              <i n="[utility].[utility name].&amp;[DM Water]" c="DM Water"/>
              <i n="[utility].[utility name].&amp;[Cooling Water]" c="Cooling Water"/>
              <i n="[utility].[utility name].&amp;[Condensate Return]" c="Condensate Return"/>
              <i n="[utility].[utility name].&amp;[Catalyst]" c="Catalyst"/>
            </range>
          </ranges>
        </level>
      </levels>
      <selections count="1">
        <selection n="[utility].[utility name].[All]"/>
      </selections>
    </olap>
  </data>
  <extLst>
    <x:ext xmlns:x15="http://schemas.microsoft.com/office/spreadsheetml/2010/11/main" uri="{03082B11-2C62-411c-B77F-237D8FCFBE4C}">
      <x15:slicerCachePivotTables>
        <pivotTable tabId="4294967295" name="PivotChartTable1"/>
        <pivotTable tabId="4294967295" name="PivotChartTable4"/>
        <pivotTable tabId="4294967295" name="PivotChartTable5"/>
        <pivotTable tabId="4294967295" name="PivotChartTable6"/>
        <pivotTable tabId="4294967295" name="PivotChartTable7"/>
        <pivotTable tabId="4294967295" name="PivotChartTable10"/>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xr10:uid="{55E3EACB-A9DF-453B-BDA1-DBDEED6A9CC9}" cache="Slicer_Dates" caption="Dates" startItem="3" level="1" style="SlicerStyleDark4 2" rowHeight="247650"/>
  <slicer name="planet" xr10:uid="{AD7C797A-3E04-4550-BA84-28B15EE45D7B}" cache="Slicer_planet" caption="planet" level="1" style="SlicerStyleDark4 2 2" rowHeight="247650"/>
  <slicer name="utility name" xr10:uid="{3A73D431-6281-47D3-90E6-562AC23487CA}" cache="Slicer_utility_name" caption="utility name" startItem="2" level="1" style="SlicerStyleDark4 2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A674175-C8C7-437C-A40C-A2BC8E77BD4E}" name="Table2" displayName="Table2" ref="A1:R31" totalsRowShown="0" headerRowDxfId="101" dataDxfId="100" tableBorderDxfId="99">
  <autoFilter ref="A1:R31" xr:uid="{FA674175-C8C7-437C-A40C-A2BC8E77BD4E}"/>
  <tableColumns count="18">
    <tableColumn id="1" xr3:uid="{B9396F3C-ADE1-4378-BA55-A7249769B832}" name="Plant" dataDxfId="98"/>
    <tableColumn id="2" xr3:uid="{A41631F0-E216-4972-93E1-FB5AEEEAC384}" name="Utility"/>
    <tableColumn id="3" xr3:uid="{9D335D9C-877C-48D5-B603-81F44A53BC54}" name="Units" dataDxfId="97"/>
    <tableColumn id="4" xr3:uid="{24167574-9604-4A59-9C3B-89822962A2C4}" name="10/1/2025" dataDxfId="96"/>
    <tableColumn id="5" xr3:uid="{3ECEF81B-55E2-4F6D-A8E5-D09E703648AA}" name="10/2/2025" dataDxfId="95"/>
    <tableColumn id="6" xr3:uid="{1A2AAB71-FC1B-461A-A9C0-CEDB1BAAACD6}" name="10/3/2025" dataDxfId="94"/>
    <tableColumn id="7" xr3:uid="{FB9D0542-095E-4DA8-B338-32FC81F58675}" name="10/4/2025" dataDxfId="93"/>
    <tableColumn id="8" xr3:uid="{998417D9-FC84-4005-B77F-44367F43D648}" name="10/5/2025" dataDxfId="92"/>
    <tableColumn id="9" xr3:uid="{72D70CD5-0791-42F0-9F3D-D6477C217891}" name="10/6/2025" dataDxfId="91"/>
    <tableColumn id="10" xr3:uid="{7E58E18C-29EC-4251-81C6-65CE8EB80B3D}" name="10/7/2025" dataDxfId="90"/>
    <tableColumn id="11" xr3:uid="{65B8B848-EBFE-43F9-A42A-63991E2B1EE4}" name="10/8/2025" dataDxfId="89"/>
    <tableColumn id="12" xr3:uid="{5A8922DF-5B4E-4D8E-B97B-3E6F970F59AC}" name="10/9/2025" dataDxfId="88"/>
    <tableColumn id="13" xr3:uid="{580645AB-7158-4E17-AEE4-11E2C373013E}" name="10/10/2025" dataDxfId="87"/>
    <tableColumn id="14" xr3:uid="{D868A33F-3501-4585-8609-323DDA3C2B90}" name="10/11/2025" dataDxfId="86"/>
    <tableColumn id="15" xr3:uid="{AC176D9C-88F7-47D3-A9B0-8FB163C53E55}" name="10/12/2025" dataDxfId="85"/>
    <tableColumn id="16" xr3:uid="{5A48C13D-B497-4C0D-B23D-BC909C3469F8}" name="10/13/2025" dataDxfId="84"/>
    <tableColumn id="17" xr3:uid="{DB749E45-B2EE-4A92-8D63-3990CD37C1DF}" name="10/14/2025" dataDxfId="83"/>
    <tableColumn id="18" xr3:uid="{E253B17A-E6DD-4794-AF99-81DF4EF9CB6D}" name="10/15/2025" dataDxfId="8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09E92EC-7489-4694-BEC8-494752B60834}" name="Table4" displayName="Table4" ref="A1:AG35" totalsRowShown="0" headerRowDxfId="81" dataDxfId="80" tableBorderDxfId="79">
  <autoFilter ref="A1:AG35" xr:uid="{B09E92EC-7489-4694-BEC8-494752B60834}"/>
  <tableColumns count="33">
    <tableColumn id="1" xr3:uid="{B86004CC-C4A8-491A-87FE-1CE244CE6915}" name="Plant" dataDxfId="78"/>
    <tableColumn id="2" xr3:uid="{D681C3C7-4C7E-4046-A920-3388D4651610}" name="Utility Name"/>
    <tableColumn id="3" xr3:uid="{B794284F-9DD5-4233-8A08-93660BB073A8}" name="Specific Consumption Unit"/>
    <tableColumn id="4" xr3:uid="{627C7E5A-F78B-4C9C-BC50-120BB1DA614F}" name="10/1/2025,Production(MT)" dataDxfId="77"/>
    <tableColumn id="5" xr3:uid="{2C4FE277-20B8-4491-9566-7408CF08563C}" name="10/1/2025,Specific Consumption" dataDxfId="76"/>
    <tableColumn id="6" xr3:uid="{6184089F-04B6-4415-A25F-EF8DA0306CFF}" name="10/2/2025,Production(MT)" dataDxfId="75"/>
    <tableColumn id="7" xr3:uid="{DE13FBFE-EE96-4F91-8337-B470B88E4F2E}" name="10/2/2025,Specific Consumption" dataDxfId="74"/>
    <tableColumn id="8" xr3:uid="{DC1CDB6B-49C3-4C59-80B4-80D321613F52}" name="10/3/2025,Production(MT)" dataDxfId="73"/>
    <tableColumn id="9" xr3:uid="{E6DD688C-7EBF-43AB-94D1-6E77359C302B}" name="10/3/2025,Specific Consumption" dataDxfId="72"/>
    <tableColumn id="10" xr3:uid="{495A1DA8-7518-4094-8FE7-682DEA30E9D5}" name="10/4/2025,Production(MT)" dataDxfId="71"/>
    <tableColumn id="11" xr3:uid="{E9814A35-B144-43B7-9658-9D508E9E1B46}" name="10/4/2025,Specific Consumption" dataDxfId="70"/>
    <tableColumn id="12" xr3:uid="{C78DCCDE-348A-4878-94FF-28E369A81160}" name="10/5/2025,Production(MT)" dataDxfId="69"/>
    <tableColumn id="13" xr3:uid="{06CDF51A-FE02-4B55-8B84-23695710416E}" name="10/5/2025,Specific Consumption" dataDxfId="68"/>
    <tableColumn id="14" xr3:uid="{D8A726B2-EBC2-40B9-891C-86DD1DF86359}" name="10/6/2025,Production(MT)" dataDxfId="67"/>
    <tableColumn id="15" xr3:uid="{D11E2784-FB6D-4BA3-91B2-BF145DB90AF4}" name="10/6/2025,Specific Consumption" dataDxfId="66"/>
    <tableColumn id="16" xr3:uid="{8158BE1E-2725-4534-B2F7-A7112A1E2C29}" name="10/7/2025,Production(MT)" dataDxfId="65"/>
    <tableColumn id="17" xr3:uid="{C14FBF38-998C-444F-80BD-E1B20CBF6E3D}" name="10/7/2025,Specific Consumption" dataDxfId="64"/>
    <tableColumn id="18" xr3:uid="{F605FFFF-6D96-4173-A8DC-11580021ADC8}" name="10/8/2025,Production(MT)" dataDxfId="63"/>
    <tableColumn id="19" xr3:uid="{CC294968-09C0-4518-AB63-B9C66AF07F83}" name="10/8/2025,Specific Consumption" dataDxfId="62"/>
    <tableColumn id="20" xr3:uid="{E1CC62E9-5302-4893-8507-8D2C28F91FB2}" name="10/9/2025,Production(MT)" dataDxfId="61"/>
    <tableColumn id="21" xr3:uid="{65607472-BD26-479F-8B5F-29ADB116201A}" name="10/9/2025,Specific Consumption" dataDxfId="60"/>
    <tableColumn id="22" xr3:uid="{CF80A69B-904D-4174-8FF4-8B843E3C0BF8}" name="10/10/2025,Production(MT)" dataDxfId="59"/>
    <tableColumn id="23" xr3:uid="{F1EAE30F-48E9-4AC8-95BF-11ABB4506CA4}" name="10/10/2025,Specific Consumption" dataDxfId="58"/>
    <tableColumn id="24" xr3:uid="{3097F912-B9C3-4268-8637-A55CD8387B67}" name="10/11/2025,Production(MT)" dataDxfId="57"/>
    <tableColumn id="25" xr3:uid="{DF24BE67-C94F-4282-94E7-C8190F83EEF4}" name="10/11/2025,Specific Consumption" dataDxfId="56"/>
    <tableColumn id="26" xr3:uid="{F8A8A9C1-B4C8-4DC2-AA12-AA503F6032B8}" name="10/12/2025,Production(MT)" dataDxfId="55"/>
    <tableColumn id="27" xr3:uid="{4A2BB520-4833-40D8-9350-45A037F1F4B9}" name="10/12/2025,Specific Consumption" dataDxfId="54"/>
    <tableColumn id="28" xr3:uid="{26DDF892-C54F-44CC-B7E9-B7CF8805CC6A}" name="10/13/2025,Production(MT)" dataDxfId="53"/>
    <tableColumn id="29" xr3:uid="{985CF222-6102-4893-A591-CFED04EE1E45}" name="10/13/2025,Specific Consumption" dataDxfId="52"/>
    <tableColumn id="30" xr3:uid="{866F4A27-61CE-4799-A47C-9994464F85CF}" name="10/14/2025,Production(MT)" dataDxfId="51"/>
    <tableColumn id="31" xr3:uid="{F8D36DBE-3E7C-4259-A274-EE84505A3DB6}" name="10/14/2025,Specific Consumption" dataDxfId="50"/>
    <tableColumn id="32" xr3:uid="{7046CEA3-2BCA-46FF-849A-83964B18147F}" name="10/15/2025,Production(MT)" dataDxfId="49"/>
    <tableColumn id="33" xr3:uid="{0432FD1A-9D3C-42B6-90DC-33519DA4E4A6}" name="10/15/2025,Specific Consumption" dataDxfId="4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1DA486D-AF4B-4275-9253-83EF2478AA55}" name="Table5" displayName="Table5" ref="A1:P31" totalsRowShown="0" headerRowDxfId="47" dataDxfId="45" headerRowBorderDxfId="46" tableBorderDxfId="44" totalsRowBorderDxfId="43">
  <autoFilter ref="A1:P31" xr:uid="{11DA486D-AF4B-4275-9253-83EF2478AA55}"/>
  <tableColumns count="16">
    <tableColumn id="1" xr3:uid="{703C3885-9C7F-414D-823B-C14A0DCFC8C8}" name="Plant" dataDxfId="42"/>
    <tableColumn id="2" xr3:uid="{B0FF3611-8CFA-468B-9B18-89A5B4ACAA84}" name="KPI " dataDxfId="41"/>
    <tableColumn id="3" xr3:uid="{10A5B342-D16C-4874-8E07-18C8BF035735}" name="Threshold Value(No.)" dataDxfId="40"/>
    <tableColumn id="4" xr3:uid="{FF354C5D-CC13-4A9D-BB5E-B97FD215F882}" name="10/3/2025" dataDxfId="39"/>
    <tableColumn id="5" xr3:uid="{F3188206-1F62-49F3-B05B-52E21E5DB352}" name="10/4/2025" dataDxfId="38"/>
    <tableColumn id="6" xr3:uid="{47490295-4DFC-4053-A1E9-F9C4EF95436E}" name="10/5/2025" dataDxfId="37"/>
    <tableColumn id="7" xr3:uid="{2C18B6BE-4255-4C09-83D7-1AACDEA525B0}" name="10/6/2025" dataDxfId="36"/>
    <tableColumn id="8" xr3:uid="{4B54EE70-6490-4799-8099-415DC902B1EC}" name="10/7/2025" dataDxfId="35"/>
    <tableColumn id="9" xr3:uid="{4A54891B-F989-45C6-B46F-25789CC53DD3}" name="10/8/2025" dataDxfId="34"/>
    <tableColumn id="10" xr3:uid="{78F4A2DB-BD52-43BC-A16C-78CDBE8D5049}" name="10/9/2025" dataDxfId="33"/>
    <tableColumn id="11" xr3:uid="{7218B248-E647-44D3-B710-2F12EBC56835}" name="10/10/2025" dataDxfId="32"/>
    <tableColumn id="12" xr3:uid="{A12FE9D1-752E-485E-922A-6649F46D9F65}" name="10/11/2025" dataDxfId="31"/>
    <tableColumn id="13" xr3:uid="{59DDA2BC-5A6C-42E1-B6BB-9782E06DF811}" name="10/12/2025" dataDxfId="30"/>
    <tableColumn id="14" xr3:uid="{E37A96E1-2EA8-4149-8342-380F204180F7}" name="10/13/2025" dataDxfId="29"/>
    <tableColumn id="15" xr3:uid="{825E48B5-CE6F-49DF-BC80-C73DF7DE20C8}" name="10/14/2025" dataDxfId="28"/>
    <tableColumn id="16" xr3:uid="{FB4E7A64-7420-4479-B002-C4A4E048424B}" name="10/15/2025" dataDxfId="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450CF02-3713-45CD-8712-D31A364C8258}" name="Table1" displayName="Table1" ref="A1:R44" totalsRowShown="0" headerRowDxfId="26" dataDxfId="25" tableBorderDxfId="24">
  <autoFilter ref="A1:R44" xr:uid="{F450CF02-3713-45CD-8712-D31A364C8258}"/>
  <tableColumns count="18">
    <tableColumn id="1" xr3:uid="{8BE1C5AD-E288-41FA-AB7C-74DB85423E92}" name="Plant" dataDxfId="23"/>
    <tableColumn id="2" xr3:uid="{652EACC3-1B54-4231-AB65-247F15CBC625}" name="Metric" dataDxfId="22"/>
    <tableColumn id="3" xr3:uid="{D0B9AAA7-C585-4F15-8F10-E55089CD3216}" name="Units" dataDxfId="21"/>
    <tableColumn id="4" xr3:uid="{C109A4F3-D12C-49B4-ACD9-714104E74166}" name="10/1/2025" dataDxfId="20"/>
    <tableColumn id="5" xr3:uid="{ADBDFF35-5884-4F78-8BF7-45D8EEAD4BFF}" name="10/2/2025" dataDxfId="19"/>
    <tableColumn id="6" xr3:uid="{E6098745-F718-440A-A123-A653F61C9B90}" name="10/3/2025" dataDxfId="18"/>
    <tableColumn id="7" xr3:uid="{FAAE28D7-8E40-4EE6-BBDD-D722692226B0}" name="10/4/2025" dataDxfId="17"/>
    <tableColumn id="8" xr3:uid="{81F13541-7A76-46A0-AD11-0C01D05BBDF8}" name="10/5/2025" dataDxfId="16"/>
    <tableColumn id="9" xr3:uid="{2FA2B9C4-6B9D-4D1C-A66B-C78FF2E02522}" name="10/6/2025" dataDxfId="15"/>
    <tableColumn id="10" xr3:uid="{F7A3AD95-AD9D-44C5-BB8B-314C176DAEEF}" name="10/7/2025" dataDxfId="14"/>
    <tableColumn id="11" xr3:uid="{D72ECD79-4AA4-4313-957D-BA17187D7070}" name="10/8/2025" dataDxfId="13"/>
    <tableColumn id="12" xr3:uid="{82C88202-96CA-479A-859C-000C578CEAC9}" name="10/9/2025" dataDxfId="12"/>
    <tableColumn id="13" xr3:uid="{90C21710-5984-4257-B2B1-891117D16AFF}" name="10/10/2025" dataDxfId="11"/>
    <tableColumn id="14" xr3:uid="{000CE677-C306-482D-B346-D78AAA37D2B1}" name="10/11/2025" dataDxfId="10"/>
    <tableColumn id="15" xr3:uid="{3EE67D85-F2DE-4978-BA1D-C7351ACF990A}" name="10/12/2025" dataDxfId="9"/>
    <tableColumn id="16" xr3:uid="{6411DF3D-84B7-43E2-B8DD-5901E45131E1}" name="10/13/2025" dataDxfId="8"/>
    <tableColumn id="17" xr3:uid="{2D0F1511-4D9C-4FD2-9369-56F4A2B4F041}" name="10/14/2025" dataDxfId="7"/>
    <tableColumn id="18" xr3:uid="{5F6B1C1E-081B-4C94-B385-7153DA1F1099}" name="10/15/2025"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71F22AE-2327-4519-8B4B-C19CAE055246}" name="planet" displayName="planet" ref="A1:A4" totalsRowShown="0" dataDxfId="5">
  <autoFilter ref="A1:A4" xr:uid="{171F22AE-2327-4519-8B4B-C19CAE055246}"/>
  <tableColumns count="1">
    <tableColumn id="1" xr3:uid="{637539E1-23B8-40A9-AEB9-198CEF298E8A}" name="planet" dataDxf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7F2027-BA5D-4ABB-A8A5-B60D675D3815}" name="Date" displayName="Date" ref="A1:A16" totalsRowShown="0" dataDxfId="3">
  <autoFilter ref="A1:A16" xr:uid="{EC7F2027-BA5D-4ABB-A8A5-B60D675D3815}"/>
  <tableColumns count="1">
    <tableColumn id="1" xr3:uid="{94EFB423-7A35-4A60-9ABD-9476F08886DE}" name="Date" dataDxfId="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0AFE78C-213E-4B3E-86A2-C79299D457BD}" name="utility" displayName="utility" ref="A1:A13" totalsRowShown="0" dataDxfId="1">
  <autoFilter ref="A1:A13" xr:uid="{D0AFE78C-213E-4B3E-86A2-C79299D457BD}"/>
  <tableColumns count="1">
    <tableColumn id="1" xr3:uid="{F0B4D7FA-80EB-43D9-84C4-45869ADCDB13}" name="ut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1:I100"/>
  <sheetViews>
    <sheetView workbookViewId="0"/>
  </sheetViews>
  <sheetFormatPr defaultColWidth="12.6640625" defaultRowHeight="15" customHeight="1"/>
  <cols>
    <col min="1" max="3" width="8.6640625" customWidth="1"/>
    <col min="4" max="4" width="10.88671875" customWidth="1"/>
    <col min="5" max="5" width="19.77734375" customWidth="1"/>
    <col min="6" max="6" width="20.77734375" customWidth="1"/>
    <col min="7" max="7" width="24" customWidth="1"/>
    <col min="8" max="8" width="15.109375" customWidth="1"/>
    <col min="9" max="11" width="8.6640625" customWidth="1"/>
  </cols>
  <sheetData>
    <row r="1" spans="4:7" ht="14.25" customHeight="1"/>
    <row r="2" spans="4:7" ht="18.75" customHeight="1">
      <c r="D2" s="168" t="s">
        <v>16</v>
      </c>
      <c r="E2" s="169"/>
      <c r="F2" s="169"/>
      <c r="G2" s="170"/>
    </row>
    <row r="3" spans="4:7" ht="14.25" customHeight="1">
      <c r="D3" s="3" t="s">
        <v>0</v>
      </c>
      <c r="E3" s="4" t="s">
        <v>17</v>
      </c>
      <c r="F3" s="5" t="s">
        <v>18</v>
      </c>
      <c r="G3" s="6" t="s">
        <v>19</v>
      </c>
    </row>
    <row r="4" spans="4:7" ht="14.25" customHeight="1">
      <c r="D4" s="7" t="s">
        <v>1</v>
      </c>
      <c r="E4" s="8">
        <v>27500</v>
      </c>
      <c r="F4" s="8">
        <v>13143</v>
      </c>
      <c r="G4" s="9">
        <f t="shared" ref="G4:G6" si="0">F4/E4</f>
        <v>0.4779272727272727</v>
      </c>
    </row>
    <row r="5" spans="4:7" ht="14.25" customHeight="1">
      <c r="D5" s="7" t="s">
        <v>2</v>
      </c>
      <c r="E5" s="8">
        <v>28500</v>
      </c>
      <c r="F5" s="8">
        <v>11613.25</v>
      </c>
      <c r="G5" s="9">
        <f t="shared" si="0"/>
        <v>0.40748245614035089</v>
      </c>
    </row>
    <row r="6" spans="4:7" ht="14.25" customHeight="1">
      <c r="D6" s="7" t="s">
        <v>3</v>
      </c>
      <c r="E6" s="8">
        <v>27000</v>
      </c>
      <c r="F6" s="8">
        <v>13081.985000000001</v>
      </c>
      <c r="G6" s="9">
        <f t="shared" si="0"/>
        <v>0.48451796296296301</v>
      </c>
    </row>
    <row r="7" spans="4:7" ht="14.25" customHeight="1">
      <c r="D7" s="10"/>
      <c r="E7" s="11"/>
      <c r="F7" s="11"/>
      <c r="G7" s="12"/>
    </row>
    <row r="8" spans="4:7" ht="19.5" customHeight="1">
      <c r="D8" s="171" t="s">
        <v>20</v>
      </c>
      <c r="E8" s="172"/>
      <c r="F8" s="172"/>
      <c r="G8" s="173"/>
    </row>
    <row r="9" spans="4:7" ht="14.25" customHeight="1">
      <c r="D9" s="3" t="s">
        <v>0</v>
      </c>
      <c r="E9" s="4" t="s">
        <v>21</v>
      </c>
      <c r="F9" s="5" t="s">
        <v>22</v>
      </c>
      <c r="G9" s="6" t="s">
        <v>23</v>
      </c>
    </row>
    <row r="10" spans="4:7" ht="14.25" customHeight="1">
      <c r="D10" s="7" t="s">
        <v>1</v>
      </c>
      <c r="E10" s="13">
        <f>100-F10-G10</f>
        <v>99.53</v>
      </c>
      <c r="F10" s="13">
        <v>0.3</v>
      </c>
      <c r="G10" s="14">
        <v>0.17</v>
      </c>
    </row>
    <row r="11" spans="4:7" ht="14.25" customHeight="1">
      <c r="D11" s="7" t="s">
        <v>2</v>
      </c>
      <c r="E11" s="8">
        <f>100-F11</f>
        <v>99.12</v>
      </c>
      <c r="F11" s="8">
        <v>0.88</v>
      </c>
      <c r="G11" s="14">
        <v>0</v>
      </c>
    </row>
    <row r="12" spans="4:7" ht="14.25" customHeight="1">
      <c r="D12" s="7" t="s">
        <v>3</v>
      </c>
      <c r="E12" s="13">
        <f>100-F12-G12</f>
        <v>97.05</v>
      </c>
      <c r="F12" s="8">
        <v>1.48</v>
      </c>
      <c r="G12" s="14">
        <v>1.47</v>
      </c>
    </row>
    <row r="13" spans="4:7" ht="14.25" customHeight="1">
      <c r="D13" s="10"/>
      <c r="E13" s="11"/>
      <c r="F13" s="11"/>
      <c r="G13" s="12"/>
    </row>
    <row r="14" spans="4:7" ht="22.5" customHeight="1">
      <c r="D14" s="174" t="s">
        <v>24</v>
      </c>
      <c r="E14" s="175"/>
      <c r="F14" s="176"/>
      <c r="G14" s="15" t="s">
        <v>25</v>
      </c>
    </row>
    <row r="15" spans="4:7" ht="14.25" customHeight="1">
      <c r="D15" s="16" t="s">
        <v>0</v>
      </c>
      <c r="E15" s="17" t="s">
        <v>26</v>
      </c>
      <c r="F15" s="18" t="s">
        <v>27</v>
      </c>
      <c r="G15" s="177">
        <f>F16+F17+F18</f>
        <v>21</v>
      </c>
    </row>
    <row r="16" spans="4:7" ht="14.25" customHeight="1">
      <c r="D16" s="7" t="s">
        <v>1</v>
      </c>
      <c r="E16" s="13" t="s">
        <v>28</v>
      </c>
      <c r="F16" s="19">
        <v>5</v>
      </c>
      <c r="G16" s="178"/>
    </row>
    <row r="17" spans="4:9" ht="14.25" customHeight="1">
      <c r="D17" s="7" t="s">
        <v>2</v>
      </c>
      <c r="E17" s="13" t="s">
        <v>28</v>
      </c>
      <c r="F17" s="8">
        <v>12</v>
      </c>
      <c r="G17" s="178"/>
    </row>
    <row r="18" spans="4:9" ht="14.25" customHeight="1">
      <c r="D18" s="20" t="s">
        <v>3</v>
      </c>
      <c r="E18" s="21" t="s">
        <v>28</v>
      </c>
      <c r="F18" s="22">
        <v>4</v>
      </c>
      <c r="G18" s="179"/>
    </row>
    <row r="19" spans="4:9" ht="14.25" customHeight="1">
      <c r="D19" s="182"/>
      <c r="E19" s="169"/>
      <c r="F19" s="169"/>
      <c r="G19" s="170"/>
      <c r="I19" s="2"/>
    </row>
    <row r="20" spans="4:9" ht="21" customHeight="1">
      <c r="D20" s="180" t="s">
        <v>29</v>
      </c>
      <c r="E20" s="172"/>
      <c r="F20" s="172"/>
      <c r="G20" s="172"/>
      <c r="H20" s="181"/>
    </row>
    <row r="21" spans="4:9" ht="19.5" customHeight="1">
      <c r="D21" s="5" t="s">
        <v>0</v>
      </c>
      <c r="E21" s="5" t="s">
        <v>30</v>
      </c>
      <c r="F21" s="5" t="s">
        <v>31</v>
      </c>
      <c r="G21" s="5" t="s">
        <v>32</v>
      </c>
      <c r="H21" s="5" t="s">
        <v>33</v>
      </c>
    </row>
    <row r="22" spans="4:9" ht="14.25" customHeight="1">
      <c r="D22" s="5" t="s">
        <v>1</v>
      </c>
      <c r="E22" s="1">
        <v>513</v>
      </c>
      <c r="F22" s="1">
        <v>411</v>
      </c>
      <c r="G22" s="1">
        <v>102</v>
      </c>
      <c r="H22" s="1">
        <v>0</v>
      </c>
    </row>
    <row r="23" spans="4:9" ht="14.25" customHeight="1">
      <c r="D23" s="5" t="s">
        <v>2</v>
      </c>
      <c r="E23" s="1">
        <v>527</v>
      </c>
      <c r="F23" s="1">
        <v>426</v>
      </c>
      <c r="G23" s="1">
        <v>101</v>
      </c>
      <c r="H23" s="1">
        <v>6</v>
      </c>
    </row>
    <row r="24" spans="4:9" ht="14.25" customHeight="1">
      <c r="D24" s="5" t="s">
        <v>3</v>
      </c>
      <c r="E24" s="1">
        <v>542</v>
      </c>
      <c r="F24" s="1">
        <v>443</v>
      </c>
      <c r="G24" s="1">
        <v>99</v>
      </c>
      <c r="H24" s="1">
        <v>5</v>
      </c>
    </row>
    <row r="25" spans="4:9" ht="14.25" customHeight="1"/>
    <row r="26" spans="4:9" ht="14.25" customHeight="1"/>
    <row r="27" spans="4:9" ht="14.25" customHeight="1"/>
    <row r="28" spans="4:9" ht="14.25" customHeight="1"/>
    <row r="29" spans="4:9" ht="14.25" customHeight="1"/>
    <row r="30" spans="4:9" ht="14.25" customHeight="1"/>
    <row r="31" spans="4:9" ht="14.25" customHeight="1"/>
    <row r="32" spans="4: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6">
    <mergeCell ref="D2:G2"/>
    <mergeCell ref="D8:G8"/>
    <mergeCell ref="D14:F14"/>
    <mergeCell ref="G15:G18"/>
    <mergeCell ref="D20:H20"/>
    <mergeCell ref="D19:G1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BFACA-1084-4D8B-B62A-21F2C6FA1499}">
  <dimension ref="A1:R31"/>
  <sheetViews>
    <sheetView workbookViewId="0"/>
  </sheetViews>
  <sheetFormatPr defaultRowHeight="14.4"/>
  <cols>
    <col min="1" max="1" width="7.21875" customWidth="1"/>
    <col min="2" max="2" width="16.44140625" bestFit="1" customWidth="1"/>
    <col min="3" max="3" width="7.21875" customWidth="1"/>
    <col min="4" max="12" width="11.21875" customWidth="1"/>
    <col min="13" max="18" width="12.21875" customWidth="1"/>
  </cols>
  <sheetData>
    <row r="1" spans="1:18" ht="15" thickBot="1">
      <c r="A1" s="68" t="s">
        <v>0</v>
      </c>
      <c r="B1" s="68" t="s">
        <v>66</v>
      </c>
      <c r="C1" s="69" t="s">
        <v>67</v>
      </c>
      <c r="D1" s="70" t="s">
        <v>38</v>
      </c>
      <c r="E1" s="70" t="s">
        <v>45</v>
      </c>
      <c r="F1" s="70" t="s">
        <v>46</v>
      </c>
      <c r="G1" s="70" t="s">
        <v>47</v>
      </c>
      <c r="H1" s="70" t="s">
        <v>48</v>
      </c>
      <c r="I1" s="70" t="s">
        <v>49</v>
      </c>
      <c r="J1" s="70" t="s">
        <v>50</v>
      </c>
      <c r="K1" s="70" t="s">
        <v>51</v>
      </c>
      <c r="L1" s="70" t="s">
        <v>52</v>
      </c>
      <c r="M1" s="70" t="s">
        <v>39</v>
      </c>
      <c r="N1" s="70" t="s">
        <v>40</v>
      </c>
      <c r="O1" s="70" t="s">
        <v>41</v>
      </c>
      <c r="P1" s="70" t="s">
        <v>42</v>
      </c>
      <c r="Q1" s="70" t="s">
        <v>43</v>
      </c>
      <c r="R1" s="71" t="s">
        <v>44</v>
      </c>
    </row>
    <row r="2" spans="1:18">
      <c r="A2" s="25" t="s">
        <v>1</v>
      </c>
      <c r="B2" s="26" t="s">
        <v>4</v>
      </c>
      <c r="C2" s="27" t="s">
        <v>68</v>
      </c>
      <c r="D2" s="28">
        <v>177</v>
      </c>
      <c r="E2" s="28">
        <v>177</v>
      </c>
      <c r="F2" s="28">
        <v>177</v>
      </c>
      <c r="G2" s="28">
        <v>177</v>
      </c>
      <c r="H2" s="28">
        <v>177</v>
      </c>
      <c r="I2" s="28">
        <v>177</v>
      </c>
      <c r="J2" s="28">
        <v>177</v>
      </c>
      <c r="K2" s="28">
        <v>153</v>
      </c>
      <c r="L2" s="28">
        <v>145</v>
      </c>
      <c r="M2" s="28">
        <v>177</v>
      </c>
      <c r="N2" s="28">
        <v>145</v>
      </c>
      <c r="O2" s="28">
        <v>147</v>
      </c>
      <c r="P2" s="28">
        <v>177</v>
      </c>
      <c r="Q2" s="28">
        <v>144</v>
      </c>
      <c r="R2" s="31">
        <v>143</v>
      </c>
    </row>
    <row r="3" spans="1:18">
      <c r="A3" s="29" t="s">
        <v>1</v>
      </c>
      <c r="B3" s="30" t="s">
        <v>5</v>
      </c>
      <c r="C3" s="31" t="s">
        <v>69</v>
      </c>
      <c r="D3" s="28">
        <v>88</v>
      </c>
      <c r="E3" s="28">
        <v>88</v>
      </c>
      <c r="F3" s="28">
        <v>87</v>
      </c>
      <c r="G3" s="28">
        <v>87</v>
      </c>
      <c r="H3" s="28">
        <v>87</v>
      </c>
      <c r="I3" s="28">
        <v>87</v>
      </c>
      <c r="J3" s="28">
        <v>87</v>
      </c>
      <c r="K3" s="28">
        <v>89</v>
      </c>
      <c r="L3" s="28">
        <v>89</v>
      </c>
      <c r="M3" s="28">
        <v>88</v>
      </c>
      <c r="N3" s="28">
        <v>92</v>
      </c>
      <c r="O3" s="28">
        <v>95</v>
      </c>
      <c r="P3" s="28">
        <v>88</v>
      </c>
      <c r="Q3" s="28">
        <v>94</v>
      </c>
      <c r="R3" s="31">
        <v>94</v>
      </c>
    </row>
    <row r="4" spans="1:18">
      <c r="A4" s="29" t="s">
        <v>1</v>
      </c>
      <c r="B4" s="30" t="s">
        <v>6</v>
      </c>
      <c r="C4" s="31" t="s">
        <v>69</v>
      </c>
      <c r="D4" s="28">
        <v>156</v>
      </c>
      <c r="E4" s="28">
        <v>157</v>
      </c>
      <c r="F4" s="28">
        <v>153</v>
      </c>
      <c r="G4" s="28">
        <v>158</v>
      </c>
      <c r="H4" s="28">
        <v>154</v>
      </c>
      <c r="I4" s="28">
        <v>153</v>
      </c>
      <c r="J4" s="28">
        <v>155</v>
      </c>
      <c r="K4" s="28">
        <v>155</v>
      </c>
      <c r="L4" s="28">
        <v>157</v>
      </c>
      <c r="M4" s="28">
        <v>156</v>
      </c>
      <c r="N4" s="28">
        <v>186</v>
      </c>
      <c r="O4" s="28">
        <v>187</v>
      </c>
      <c r="P4" s="28">
        <v>157</v>
      </c>
      <c r="Q4" s="28">
        <v>192</v>
      </c>
      <c r="R4" s="31">
        <v>192</v>
      </c>
    </row>
    <row r="5" spans="1:18">
      <c r="A5" s="29" t="s">
        <v>1</v>
      </c>
      <c r="B5" s="30" t="s">
        <v>37</v>
      </c>
      <c r="C5" s="31" t="s">
        <v>70</v>
      </c>
      <c r="D5" s="28">
        <v>5</v>
      </c>
      <c r="E5" s="28">
        <v>3</v>
      </c>
      <c r="F5" s="28">
        <v>5</v>
      </c>
      <c r="G5" s="28">
        <v>1</v>
      </c>
      <c r="H5" s="28">
        <v>3</v>
      </c>
      <c r="I5" s="28">
        <v>2</v>
      </c>
      <c r="J5" s="28">
        <v>3</v>
      </c>
      <c r="K5" s="28">
        <v>1</v>
      </c>
      <c r="L5" s="28">
        <v>1</v>
      </c>
      <c r="M5" s="28">
        <v>5</v>
      </c>
      <c r="N5" s="28">
        <v>1</v>
      </c>
      <c r="O5" s="28">
        <v>0</v>
      </c>
      <c r="P5" s="28">
        <v>3</v>
      </c>
      <c r="Q5" s="28">
        <v>1</v>
      </c>
      <c r="R5" s="31">
        <v>2</v>
      </c>
    </row>
    <row r="6" spans="1:18">
      <c r="A6" s="29" t="s">
        <v>1</v>
      </c>
      <c r="B6" s="30" t="s">
        <v>7</v>
      </c>
      <c r="C6" s="31" t="s">
        <v>70</v>
      </c>
      <c r="D6" s="28">
        <v>118</v>
      </c>
      <c r="E6" s="28">
        <v>115</v>
      </c>
      <c r="F6" s="28">
        <v>118</v>
      </c>
      <c r="G6" s="28">
        <v>257</v>
      </c>
      <c r="H6" s="28">
        <v>120</v>
      </c>
      <c r="I6" s="28">
        <v>119</v>
      </c>
      <c r="J6" s="28">
        <v>117</v>
      </c>
      <c r="K6" s="28">
        <v>170</v>
      </c>
      <c r="L6" s="28">
        <v>271</v>
      </c>
      <c r="M6" s="28">
        <v>118</v>
      </c>
      <c r="N6" s="28">
        <v>108</v>
      </c>
      <c r="O6" s="28">
        <v>102</v>
      </c>
      <c r="P6" s="28">
        <v>115</v>
      </c>
      <c r="Q6" s="28">
        <v>129</v>
      </c>
      <c r="R6" s="31">
        <v>137</v>
      </c>
    </row>
    <row r="7" spans="1:18">
      <c r="A7" s="29" t="s">
        <v>1</v>
      </c>
      <c r="B7" s="30" t="s">
        <v>8</v>
      </c>
      <c r="C7" s="31" t="s">
        <v>71</v>
      </c>
      <c r="D7" s="32">
        <v>3</v>
      </c>
      <c r="E7" s="33">
        <v>2</v>
      </c>
      <c r="F7" s="32">
        <v>4</v>
      </c>
      <c r="G7" s="32">
        <v>5</v>
      </c>
      <c r="H7" s="32">
        <v>3</v>
      </c>
      <c r="I7" s="32">
        <v>1</v>
      </c>
      <c r="J7" s="32">
        <v>1</v>
      </c>
      <c r="K7" s="28">
        <v>2</v>
      </c>
      <c r="L7" s="28">
        <v>1</v>
      </c>
      <c r="M7" s="32">
        <v>3</v>
      </c>
      <c r="N7" s="28">
        <v>1</v>
      </c>
      <c r="O7" s="28">
        <v>1</v>
      </c>
      <c r="P7" s="33">
        <v>2</v>
      </c>
      <c r="Q7" s="28">
        <v>3</v>
      </c>
      <c r="R7" s="31">
        <v>1</v>
      </c>
    </row>
    <row r="8" spans="1:18">
      <c r="A8" s="29" t="s">
        <v>1</v>
      </c>
      <c r="B8" s="30" t="s">
        <v>9</v>
      </c>
      <c r="C8" s="31" t="s">
        <v>72</v>
      </c>
      <c r="D8" s="28">
        <v>34</v>
      </c>
      <c r="E8" s="34">
        <v>34</v>
      </c>
      <c r="F8" s="28">
        <v>34</v>
      </c>
      <c r="G8" s="28">
        <v>34</v>
      </c>
      <c r="H8" s="28">
        <v>34</v>
      </c>
      <c r="I8" s="28">
        <v>34</v>
      </c>
      <c r="J8" s="28">
        <v>34</v>
      </c>
      <c r="K8" s="28">
        <v>33</v>
      </c>
      <c r="L8" s="28">
        <v>34</v>
      </c>
      <c r="M8" s="28">
        <v>34</v>
      </c>
      <c r="N8" s="28">
        <v>34</v>
      </c>
      <c r="O8" s="28">
        <v>33</v>
      </c>
      <c r="P8" s="34">
        <v>34</v>
      </c>
      <c r="Q8" s="28">
        <v>34</v>
      </c>
      <c r="R8" s="31">
        <v>34</v>
      </c>
    </row>
    <row r="9" spans="1:18">
      <c r="A9" s="29" t="s">
        <v>1</v>
      </c>
      <c r="B9" s="30" t="s">
        <v>10</v>
      </c>
      <c r="C9" s="31" t="s">
        <v>72</v>
      </c>
      <c r="D9" s="28">
        <v>31</v>
      </c>
      <c r="E9" s="34">
        <v>31</v>
      </c>
      <c r="F9" s="28">
        <v>30</v>
      </c>
      <c r="G9" s="28">
        <v>27</v>
      </c>
      <c r="H9" s="28">
        <v>27</v>
      </c>
      <c r="I9" s="28">
        <v>27</v>
      </c>
      <c r="J9" s="28">
        <v>27</v>
      </c>
      <c r="K9" s="28">
        <v>27</v>
      </c>
      <c r="L9" s="28">
        <v>28</v>
      </c>
      <c r="M9" s="28">
        <v>31</v>
      </c>
      <c r="N9" s="28">
        <v>26</v>
      </c>
      <c r="O9" s="28">
        <v>25</v>
      </c>
      <c r="P9" s="34">
        <v>31</v>
      </c>
      <c r="Q9" s="28">
        <v>25</v>
      </c>
      <c r="R9" s="31">
        <v>24</v>
      </c>
    </row>
    <row r="10" spans="1:18">
      <c r="A10" s="29" t="s">
        <v>1</v>
      </c>
      <c r="B10" s="30" t="s">
        <v>11</v>
      </c>
      <c r="C10" s="31" t="s">
        <v>73</v>
      </c>
      <c r="D10" s="28">
        <v>366</v>
      </c>
      <c r="E10" s="34">
        <v>349</v>
      </c>
      <c r="F10" s="28">
        <v>372</v>
      </c>
      <c r="G10" s="28">
        <v>367</v>
      </c>
      <c r="H10" s="28">
        <v>372</v>
      </c>
      <c r="I10" s="28">
        <v>368</v>
      </c>
      <c r="J10" s="28">
        <v>371</v>
      </c>
      <c r="K10" s="28">
        <v>350</v>
      </c>
      <c r="L10" s="28">
        <v>354</v>
      </c>
      <c r="M10" s="28">
        <v>366</v>
      </c>
      <c r="N10" s="28">
        <v>349</v>
      </c>
      <c r="O10" s="28">
        <v>350</v>
      </c>
      <c r="P10" s="34">
        <v>349</v>
      </c>
      <c r="Q10" s="28">
        <v>370</v>
      </c>
      <c r="R10" s="31">
        <v>371</v>
      </c>
    </row>
    <row r="11" spans="1:18" ht="15" thickBot="1">
      <c r="A11" s="35" t="s">
        <v>1</v>
      </c>
      <c r="B11" s="36" t="s">
        <v>12</v>
      </c>
      <c r="C11" s="37" t="s">
        <v>69</v>
      </c>
      <c r="D11" s="28">
        <v>50</v>
      </c>
      <c r="E11" s="28">
        <v>50</v>
      </c>
      <c r="F11" s="28">
        <v>51</v>
      </c>
      <c r="G11" s="28">
        <v>51</v>
      </c>
      <c r="H11" s="28">
        <v>50</v>
      </c>
      <c r="I11" s="28">
        <v>52</v>
      </c>
      <c r="J11" s="28">
        <v>47</v>
      </c>
      <c r="K11" s="28">
        <v>44</v>
      </c>
      <c r="L11" s="28">
        <v>50</v>
      </c>
      <c r="M11" s="28">
        <v>50</v>
      </c>
      <c r="N11" s="28">
        <v>51</v>
      </c>
      <c r="O11" s="28">
        <v>51</v>
      </c>
      <c r="P11" s="28">
        <v>50</v>
      </c>
      <c r="Q11" s="28">
        <v>50</v>
      </c>
      <c r="R11" s="31">
        <v>49</v>
      </c>
    </row>
    <row r="12" spans="1:18">
      <c r="A12" s="38" t="s">
        <v>2</v>
      </c>
      <c r="B12" s="39" t="s">
        <v>11</v>
      </c>
      <c r="C12" s="40" t="s">
        <v>74</v>
      </c>
      <c r="D12" s="41">
        <v>209</v>
      </c>
      <c r="E12" s="41">
        <v>195</v>
      </c>
      <c r="F12" s="41">
        <v>188</v>
      </c>
      <c r="G12" s="41">
        <v>195</v>
      </c>
      <c r="H12" s="41">
        <v>191</v>
      </c>
      <c r="I12" s="41">
        <v>196</v>
      </c>
      <c r="J12" s="41">
        <v>206</v>
      </c>
      <c r="K12" s="41">
        <v>210</v>
      </c>
      <c r="L12" s="41">
        <v>216</v>
      </c>
      <c r="M12" s="41">
        <v>191</v>
      </c>
      <c r="N12" s="42">
        <v>103</v>
      </c>
      <c r="O12" s="42">
        <v>205</v>
      </c>
      <c r="P12" s="42">
        <v>247</v>
      </c>
      <c r="Q12" s="42">
        <v>94</v>
      </c>
      <c r="R12" s="50">
        <v>252</v>
      </c>
    </row>
    <row r="13" spans="1:18" ht="15" thickBot="1">
      <c r="A13" s="43" t="s">
        <v>2</v>
      </c>
      <c r="B13" s="44" t="s">
        <v>7</v>
      </c>
      <c r="C13" s="45" t="s">
        <v>75</v>
      </c>
      <c r="D13" s="42">
        <v>96</v>
      </c>
      <c r="E13" s="42">
        <v>93</v>
      </c>
      <c r="F13" s="42">
        <v>94</v>
      </c>
      <c r="G13" s="42">
        <v>103</v>
      </c>
      <c r="H13" s="42">
        <v>104</v>
      </c>
      <c r="I13" s="42">
        <v>109</v>
      </c>
      <c r="J13" s="42">
        <v>107</v>
      </c>
      <c r="K13" s="42">
        <v>135</v>
      </c>
      <c r="L13" s="42">
        <v>127</v>
      </c>
      <c r="M13" s="42">
        <v>147</v>
      </c>
      <c r="N13" s="42">
        <v>134</v>
      </c>
      <c r="O13" s="42">
        <v>110</v>
      </c>
      <c r="P13" s="42">
        <v>106</v>
      </c>
      <c r="Q13" s="46">
        <v>242.6</v>
      </c>
      <c r="R13" s="50">
        <v>111</v>
      </c>
    </row>
    <row r="14" spans="1:18">
      <c r="A14" s="38" t="s">
        <v>2</v>
      </c>
      <c r="B14" s="39" t="s">
        <v>6</v>
      </c>
      <c r="C14" s="40" t="s">
        <v>69</v>
      </c>
      <c r="D14" s="46">
        <v>250.4</v>
      </c>
      <c r="E14" s="47">
        <v>244.9</v>
      </c>
      <c r="F14" s="46">
        <v>242.6</v>
      </c>
      <c r="G14" s="42">
        <v>241.9</v>
      </c>
      <c r="H14" s="42">
        <v>251.7</v>
      </c>
      <c r="I14" s="42">
        <v>254.4</v>
      </c>
      <c r="J14" s="42">
        <v>256.60000000000002</v>
      </c>
      <c r="K14" s="42">
        <v>253.3</v>
      </c>
      <c r="L14" s="42">
        <v>254.3</v>
      </c>
      <c r="M14" s="42">
        <v>303.8</v>
      </c>
      <c r="N14" s="42">
        <v>338.4</v>
      </c>
      <c r="O14" s="42">
        <v>295.8</v>
      </c>
      <c r="P14" s="42">
        <v>246.7</v>
      </c>
      <c r="Q14" s="42">
        <v>145.465</v>
      </c>
      <c r="R14" s="50">
        <v>251</v>
      </c>
    </row>
    <row r="15" spans="1:18">
      <c r="A15" s="48" t="s">
        <v>2</v>
      </c>
      <c r="B15" s="49" t="s">
        <v>4</v>
      </c>
      <c r="C15" s="50" t="s">
        <v>68</v>
      </c>
      <c r="D15" s="42">
        <v>154.38999999999999</v>
      </c>
      <c r="E15" s="42">
        <v>146.51499999999999</v>
      </c>
      <c r="F15" s="42">
        <v>145.465</v>
      </c>
      <c r="G15" s="42">
        <v>145.548</v>
      </c>
      <c r="H15" s="42">
        <v>147.827</v>
      </c>
      <c r="I15" s="42">
        <v>146.059</v>
      </c>
      <c r="J15" s="42">
        <v>147.34700000000001</v>
      </c>
      <c r="K15" s="42">
        <v>153.60400000000001</v>
      </c>
      <c r="L15" s="42">
        <v>165.374</v>
      </c>
      <c r="M15" s="42">
        <v>167.95500000000001</v>
      </c>
      <c r="N15" s="42">
        <v>166.59700000000001</v>
      </c>
      <c r="O15" s="42">
        <v>172.51400000000001</v>
      </c>
      <c r="P15" s="42">
        <v>176.596</v>
      </c>
      <c r="Q15" s="42">
        <v>27.986999999999998</v>
      </c>
      <c r="R15" s="50">
        <v>174.71199999999999</v>
      </c>
    </row>
    <row r="16" spans="1:18">
      <c r="A16" s="48" t="s">
        <v>2</v>
      </c>
      <c r="B16" s="49" t="s">
        <v>9</v>
      </c>
      <c r="C16" s="50" t="s">
        <v>71</v>
      </c>
      <c r="D16" s="42">
        <v>27.79</v>
      </c>
      <c r="E16" s="42">
        <v>28.297000000000001</v>
      </c>
      <c r="F16" s="42">
        <v>27.986999999999998</v>
      </c>
      <c r="G16" s="42">
        <v>27.832000000000001</v>
      </c>
      <c r="H16" s="42">
        <v>28.244</v>
      </c>
      <c r="I16" s="42">
        <v>28.344999999999999</v>
      </c>
      <c r="J16" s="42">
        <v>28.262</v>
      </c>
      <c r="K16" s="42">
        <v>28.503</v>
      </c>
      <c r="L16" s="42">
        <v>28.169</v>
      </c>
      <c r="M16" s="42">
        <v>28.532</v>
      </c>
      <c r="N16" s="42">
        <v>27.838999999999999</v>
      </c>
      <c r="O16" s="42">
        <v>27.501999999999999</v>
      </c>
      <c r="P16" s="42">
        <v>27.88</v>
      </c>
      <c r="Q16" s="42">
        <v>40.758000000000003</v>
      </c>
      <c r="R16" s="50">
        <v>27.564</v>
      </c>
    </row>
    <row r="17" spans="1:18">
      <c r="A17" s="48" t="s">
        <v>2</v>
      </c>
      <c r="B17" s="49" t="s">
        <v>10</v>
      </c>
      <c r="C17" s="50" t="s">
        <v>71</v>
      </c>
      <c r="D17" s="41">
        <v>41.8</v>
      </c>
      <c r="E17" s="42">
        <v>40.848999999999997</v>
      </c>
      <c r="F17" s="42">
        <v>40.758000000000003</v>
      </c>
      <c r="G17" s="42">
        <v>41.137</v>
      </c>
      <c r="H17" s="42">
        <v>41.198999999999998</v>
      </c>
      <c r="I17" s="42">
        <v>40.731000000000002</v>
      </c>
      <c r="J17" s="42">
        <v>41.009</v>
      </c>
      <c r="K17" s="42">
        <v>35.545999999999999</v>
      </c>
      <c r="L17" s="42">
        <v>40.200000000000003</v>
      </c>
      <c r="M17" s="42">
        <v>33.271999999999998</v>
      </c>
      <c r="N17" s="42">
        <v>32.200000000000003</v>
      </c>
      <c r="O17" s="42">
        <v>32.5</v>
      </c>
      <c r="P17" s="41">
        <v>38.5</v>
      </c>
      <c r="Q17" s="42">
        <v>104.3</v>
      </c>
      <c r="R17" s="50">
        <v>42.645000000000003</v>
      </c>
    </row>
    <row r="18" spans="1:18">
      <c r="A18" s="48" t="s">
        <v>2</v>
      </c>
      <c r="B18" s="49" t="s">
        <v>12</v>
      </c>
      <c r="C18" s="50" t="s">
        <v>75</v>
      </c>
      <c r="D18" s="42">
        <v>100.8</v>
      </c>
      <c r="E18" s="42">
        <v>105.7</v>
      </c>
      <c r="F18" s="42">
        <v>104.3</v>
      </c>
      <c r="G18" s="42">
        <v>102.3</v>
      </c>
      <c r="H18" s="42">
        <v>109</v>
      </c>
      <c r="I18" s="42">
        <v>110</v>
      </c>
      <c r="J18" s="42">
        <v>109.4</v>
      </c>
      <c r="K18" s="42">
        <v>110</v>
      </c>
      <c r="L18" s="42">
        <v>112.4</v>
      </c>
      <c r="M18" s="42">
        <v>131.69999999999999</v>
      </c>
      <c r="N18" s="42">
        <v>166.2</v>
      </c>
      <c r="O18" s="42">
        <v>113.8</v>
      </c>
      <c r="P18" s="42">
        <v>113.6</v>
      </c>
      <c r="Q18" s="42">
        <v>0.114</v>
      </c>
      <c r="R18" s="50">
        <v>116</v>
      </c>
    </row>
    <row r="19" spans="1:18">
      <c r="A19" s="48" t="s">
        <v>2</v>
      </c>
      <c r="B19" s="49" t="s">
        <v>76</v>
      </c>
      <c r="C19" s="50" t="s">
        <v>71</v>
      </c>
      <c r="D19" s="42">
        <v>0.34200000000000003</v>
      </c>
      <c r="E19" s="42">
        <v>8.3400000000000002E-2</v>
      </c>
      <c r="F19" s="42">
        <v>0.114</v>
      </c>
      <c r="G19" s="42">
        <v>0.69399999999999995</v>
      </c>
      <c r="H19" s="42">
        <v>0.156</v>
      </c>
      <c r="I19" s="42">
        <v>0.69499999999999995</v>
      </c>
      <c r="J19" s="42">
        <v>8.1050000000000004</v>
      </c>
      <c r="K19" s="42">
        <v>1.2629999999999999</v>
      </c>
      <c r="L19" s="42">
        <v>2.1549999999999998</v>
      </c>
      <c r="M19" s="42">
        <v>2.415</v>
      </c>
      <c r="N19" s="42">
        <v>2.0960000000000001</v>
      </c>
      <c r="O19" s="42">
        <v>2.524</v>
      </c>
      <c r="P19" s="42">
        <v>3.839</v>
      </c>
      <c r="Q19" s="42">
        <v>15.5</v>
      </c>
      <c r="R19" s="50">
        <v>7.1550000000000002</v>
      </c>
    </row>
    <row r="20" spans="1:18" ht="15" thickBot="1">
      <c r="A20" s="43" t="s">
        <v>2</v>
      </c>
      <c r="B20" s="44" t="s">
        <v>13</v>
      </c>
      <c r="C20" s="45" t="s">
        <v>75</v>
      </c>
      <c r="D20" s="42">
        <v>15.5</v>
      </c>
      <c r="E20" s="42">
        <v>15.4</v>
      </c>
      <c r="F20" s="42">
        <v>15.5</v>
      </c>
      <c r="G20" s="42">
        <v>14.6</v>
      </c>
      <c r="H20" s="51">
        <v>14</v>
      </c>
      <c r="I20" s="42">
        <v>13</v>
      </c>
      <c r="J20" s="42">
        <v>12.5</v>
      </c>
      <c r="K20" s="42">
        <v>12.3</v>
      </c>
      <c r="L20" s="42">
        <v>11.9</v>
      </c>
      <c r="M20" s="42">
        <v>11.7</v>
      </c>
      <c r="N20" s="42">
        <v>11.4</v>
      </c>
      <c r="O20" s="42">
        <v>15.4</v>
      </c>
      <c r="P20" s="42">
        <v>17.2</v>
      </c>
      <c r="Q20" s="42">
        <v>17.7</v>
      </c>
      <c r="R20" s="50">
        <v>17.7</v>
      </c>
    </row>
    <row r="21" spans="1:18">
      <c r="A21" s="52" t="s">
        <v>3</v>
      </c>
      <c r="B21" s="53" t="s">
        <v>11</v>
      </c>
      <c r="C21" s="54" t="s">
        <v>74</v>
      </c>
      <c r="D21" s="55">
        <v>255</v>
      </c>
      <c r="E21" s="55">
        <v>256</v>
      </c>
      <c r="F21" s="55">
        <v>242</v>
      </c>
      <c r="G21" s="55">
        <v>254</v>
      </c>
      <c r="H21" s="55">
        <v>259</v>
      </c>
      <c r="I21" s="55">
        <v>254</v>
      </c>
      <c r="J21" s="55">
        <v>257</v>
      </c>
      <c r="K21" s="55">
        <v>264</v>
      </c>
      <c r="L21" s="55">
        <v>265</v>
      </c>
      <c r="M21" s="55">
        <v>261</v>
      </c>
      <c r="N21" s="55">
        <v>264</v>
      </c>
      <c r="O21" s="55">
        <v>265</v>
      </c>
      <c r="P21" s="55">
        <v>255</v>
      </c>
      <c r="Q21" s="55">
        <v>265</v>
      </c>
      <c r="R21" s="58">
        <v>265</v>
      </c>
    </row>
    <row r="22" spans="1:18">
      <c r="A22" s="56" t="s">
        <v>3</v>
      </c>
      <c r="B22" s="57" t="s">
        <v>14</v>
      </c>
      <c r="C22" s="58" t="s">
        <v>69</v>
      </c>
      <c r="D22" s="55">
        <v>79</v>
      </c>
      <c r="E22" s="55">
        <v>72</v>
      </c>
      <c r="F22" s="55">
        <v>79</v>
      </c>
      <c r="G22" s="55">
        <v>84</v>
      </c>
      <c r="H22" s="55">
        <v>80</v>
      </c>
      <c r="I22" s="55">
        <v>78</v>
      </c>
      <c r="J22" s="55">
        <v>79</v>
      </c>
      <c r="K22" s="55">
        <v>79</v>
      </c>
      <c r="L22" s="55">
        <v>82</v>
      </c>
      <c r="M22" s="55">
        <v>82</v>
      </c>
      <c r="N22" s="55">
        <v>79</v>
      </c>
      <c r="O22" s="55">
        <v>83</v>
      </c>
      <c r="P22" s="55">
        <v>90</v>
      </c>
      <c r="Q22" s="55">
        <v>82</v>
      </c>
      <c r="R22" s="58">
        <v>93</v>
      </c>
    </row>
    <row r="23" spans="1:18">
      <c r="A23" s="56" t="s">
        <v>3</v>
      </c>
      <c r="B23" s="57" t="s">
        <v>5</v>
      </c>
      <c r="C23" s="58" t="s">
        <v>69</v>
      </c>
      <c r="D23" s="55">
        <v>138</v>
      </c>
      <c r="E23" s="55">
        <v>147</v>
      </c>
      <c r="F23" s="55">
        <v>148</v>
      </c>
      <c r="G23" s="55">
        <v>142</v>
      </c>
      <c r="H23" s="55">
        <v>141</v>
      </c>
      <c r="I23" s="55">
        <v>143</v>
      </c>
      <c r="J23" s="55">
        <v>138</v>
      </c>
      <c r="K23" s="55">
        <v>136</v>
      </c>
      <c r="L23" s="55">
        <v>132</v>
      </c>
      <c r="M23" s="55">
        <v>136</v>
      </c>
      <c r="N23" s="55">
        <v>142</v>
      </c>
      <c r="O23" s="55">
        <v>132</v>
      </c>
      <c r="P23" s="55">
        <v>141</v>
      </c>
      <c r="Q23" s="55">
        <v>132</v>
      </c>
      <c r="R23" s="58">
        <v>142</v>
      </c>
    </row>
    <row r="24" spans="1:18">
      <c r="A24" s="59" t="s">
        <v>3</v>
      </c>
      <c r="B24" s="60" t="s">
        <v>6</v>
      </c>
      <c r="C24" s="61" t="s">
        <v>69</v>
      </c>
      <c r="D24" s="55">
        <v>228</v>
      </c>
      <c r="E24" s="55">
        <v>231</v>
      </c>
      <c r="F24" s="55">
        <v>223</v>
      </c>
      <c r="G24" s="55">
        <v>235</v>
      </c>
      <c r="H24" s="55">
        <v>231</v>
      </c>
      <c r="I24" s="55">
        <v>229</v>
      </c>
      <c r="J24" s="55">
        <v>233</v>
      </c>
      <c r="K24" s="55">
        <v>235</v>
      </c>
      <c r="L24" s="55">
        <v>236</v>
      </c>
      <c r="M24" s="55">
        <v>239</v>
      </c>
      <c r="N24" s="55">
        <v>240</v>
      </c>
      <c r="O24" s="55">
        <v>237</v>
      </c>
      <c r="P24" s="55">
        <v>234</v>
      </c>
      <c r="Q24" s="55">
        <v>236</v>
      </c>
      <c r="R24" s="58">
        <v>222</v>
      </c>
    </row>
    <row r="25" spans="1:18">
      <c r="A25" s="56" t="s">
        <v>3</v>
      </c>
      <c r="B25" s="57" t="s">
        <v>7</v>
      </c>
      <c r="C25" s="58" t="s">
        <v>70</v>
      </c>
      <c r="D25" s="55">
        <v>84</v>
      </c>
      <c r="E25" s="55">
        <v>78</v>
      </c>
      <c r="F25" s="55">
        <v>74</v>
      </c>
      <c r="G25" s="55">
        <v>71</v>
      </c>
      <c r="H25" s="55">
        <v>89</v>
      </c>
      <c r="I25" s="55">
        <v>97</v>
      </c>
      <c r="J25" s="55">
        <v>89</v>
      </c>
      <c r="K25" s="55">
        <v>85</v>
      </c>
      <c r="L25" s="55">
        <v>83</v>
      </c>
      <c r="M25" s="55">
        <v>89</v>
      </c>
      <c r="N25" s="55">
        <v>94</v>
      </c>
      <c r="O25" s="55">
        <v>146</v>
      </c>
      <c r="P25" s="55">
        <v>139</v>
      </c>
      <c r="Q25" s="55">
        <v>83</v>
      </c>
      <c r="R25" s="58">
        <v>156</v>
      </c>
    </row>
    <row r="26" spans="1:18">
      <c r="A26" s="56" t="s">
        <v>3</v>
      </c>
      <c r="B26" s="57" t="s">
        <v>10</v>
      </c>
      <c r="C26" s="58" t="s">
        <v>72</v>
      </c>
      <c r="D26" s="55">
        <v>24.024000000000001</v>
      </c>
      <c r="E26" s="55">
        <v>23.664999999999999</v>
      </c>
      <c r="F26" s="55">
        <v>25.88</v>
      </c>
      <c r="G26" s="55">
        <v>26.533999999999999</v>
      </c>
      <c r="H26" s="55">
        <v>25.146000000000001</v>
      </c>
      <c r="I26" s="55">
        <v>25.253</v>
      </c>
      <c r="J26" s="55">
        <v>25.649000000000001</v>
      </c>
      <c r="K26" s="55">
        <v>25.608000000000001</v>
      </c>
      <c r="L26" s="55">
        <v>24.245999999999999</v>
      </c>
      <c r="M26" s="62">
        <v>24.12</v>
      </c>
      <c r="N26" s="55">
        <v>23.835000000000001</v>
      </c>
      <c r="O26" s="55">
        <v>23.780999999999999</v>
      </c>
      <c r="P26" s="55">
        <v>26.643000000000001</v>
      </c>
      <c r="Q26" s="55">
        <v>24.245999999999999</v>
      </c>
      <c r="R26" s="58">
        <v>23.052</v>
      </c>
    </row>
    <row r="27" spans="1:18">
      <c r="A27" s="56" t="s">
        <v>3</v>
      </c>
      <c r="B27" s="57" t="s">
        <v>4</v>
      </c>
      <c r="C27" s="58" t="s">
        <v>68</v>
      </c>
      <c r="D27" s="55">
        <v>259.19</v>
      </c>
      <c r="E27" s="55">
        <v>260.22399999999999</v>
      </c>
      <c r="F27" s="55">
        <v>261.75200000000001</v>
      </c>
      <c r="G27" s="55">
        <v>260.39600000000002</v>
      </c>
      <c r="H27" s="55">
        <v>257.92700000000002</v>
      </c>
      <c r="I27" s="55">
        <v>258.71499999999997</v>
      </c>
      <c r="J27" s="55">
        <v>258.642</v>
      </c>
      <c r="K27" s="55">
        <v>265.08199999999999</v>
      </c>
      <c r="L27" s="55">
        <v>264.90699999999998</v>
      </c>
      <c r="M27" s="55">
        <v>263.35599999999999</v>
      </c>
      <c r="N27" s="62">
        <v>262.7</v>
      </c>
      <c r="O27" s="55">
        <v>259.596</v>
      </c>
      <c r="P27" s="55">
        <v>259.57799999999997</v>
      </c>
      <c r="Q27" s="55">
        <v>264.90699999999998</v>
      </c>
      <c r="R27" s="58">
        <v>260.30500000000001</v>
      </c>
    </row>
    <row r="28" spans="1:18">
      <c r="A28" s="56" t="s">
        <v>3</v>
      </c>
      <c r="B28" s="57" t="s">
        <v>77</v>
      </c>
      <c r="C28" s="58" t="s">
        <v>71</v>
      </c>
      <c r="D28" s="55">
        <v>26.074999999999999</v>
      </c>
      <c r="E28" s="55">
        <v>26.343</v>
      </c>
      <c r="F28" s="55">
        <v>26.003</v>
      </c>
      <c r="G28" s="55">
        <v>26.149000000000001</v>
      </c>
      <c r="H28" s="55">
        <v>26.443000000000001</v>
      </c>
      <c r="I28" s="55">
        <v>26.4</v>
      </c>
      <c r="J28" s="55">
        <v>26.274000000000001</v>
      </c>
      <c r="K28" s="55">
        <v>26.341000000000001</v>
      </c>
      <c r="L28" s="55">
        <v>26.33</v>
      </c>
      <c r="M28" s="55">
        <v>26.800999999999998</v>
      </c>
      <c r="N28" s="55">
        <v>26.556999999999999</v>
      </c>
      <c r="O28" s="55">
        <v>26.509</v>
      </c>
      <c r="P28" s="55">
        <v>26.484999999999999</v>
      </c>
      <c r="Q28" s="55">
        <v>26.33</v>
      </c>
      <c r="R28" s="58">
        <v>26.155999999999999</v>
      </c>
    </row>
    <row r="29" spans="1:18">
      <c r="A29" s="56" t="s">
        <v>3</v>
      </c>
      <c r="B29" s="63" t="s">
        <v>8</v>
      </c>
      <c r="C29" s="58" t="s">
        <v>71</v>
      </c>
      <c r="D29" s="55">
        <v>29.382000000000001</v>
      </c>
      <c r="E29" s="55">
        <v>29.009</v>
      </c>
      <c r="F29" s="55">
        <v>28.602</v>
      </c>
      <c r="G29" s="55">
        <v>28.372</v>
      </c>
      <c r="H29" s="55">
        <v>27.821999999999999</v>
      </c>
      <c r="I29" s="55">
        <v>26.835000000000001</v>
      </c>
      <c r="J29" s="55">
        <v>28.396999999999998</v>
      </c>
      <c r="K29" s="55">
        <v>25.516999999999999</v>
      </c>
      <c r="L29" s="55">
        <v>28.123000000000001</v>
      </c>
      <c r="M29" s="55">
        <v>27.809000000000001</v>
      </c>
      <c r="N29" s="55">
        <v>28.992000000000001</v>
      </c>
      <c r="O29" s="55">
        <v>28.658000000000001</v>
      </c>
      <c r="P29" s="55">
        <v>29.021000000000001</v>
      </c>
      <c r="Q29" s="55">
        <v>28.123000000000001</v>
      </c>
      <c r="R29" s="58">
        <v>27.879000000000001</v>
      </c>
    </row>
    <row r="30" spans="1:18">
      <c r="A30" s="56" t="s">
        <v>3</v>
      </c>
      <c r="B30" s="64" t="s">
        <v>78</v>
      </c>
      <c r="C30" s="58" t="s">
        <v>70</v>
      </c>
      <c r="D30" s="55">
        <v>8.76</v>
      </c>
      <c r="E30" s="55">
        <v>6.27</v>
      </c>
      <c r="F30" s="55">
        <v>5.35</v>
      </c>
      <c r="G30" s="55">
        <v>7.14</v>
      </c>
      <c r="H30" s="55">
        <v>3.34</v>
      </c>
      <c r="I30" s="55">
        <v>2.94</v>
      </c>
      <c r="J30" s="55">
        <v>5.88</v>
      </c>
      <c r="K30" s="55">
        <v>5.89</v>
      </c>
      <c r="L30" s="55">
        <v>5.83</v>
      </c>
      <c r="M30" s="55">
        <v>6.47</v>
      </c>
      <c r="N30" s="55">
        <v>7.74</v>
      </c>
      <c r="O30" s="55">
        <v>5.62</v>
      </c>
      <c r="P30" s="55">
        <v>12.61</v>
      </c>
      <c r="Q30" s="55">
        <v>5.83</v>
      </c>
      <c r="R30" s="58">
        <v>8.39</v>
      </c>
    </row>
    <row r="31" spans="1:18">
      <c r="A31" s="65" t="s">
        <v>3</v>
      </c>
      <c r="B31" s="66" t="s">
        <v>12</v>
      </c>
      <c r="C31" s="67" t="s">
        <v>69</v>
      </c>
      <c r="D31" s="55">
        <v>262</v>
      </c>
      <c r="E31" s="55">
        <v>268</v>
      </c>
      <c r="F31" s="55">
        <v>257</v>
      </c>
      <c r="G31" s="55">
        <v>275</v>
      </c>
      <c r="H31" s="55">
        <v>287</v>
      </c>
      <c r="I31" s="55">
        <v>314</v>
      </c>
      <c r="J31" s="55">
        <v>291</v>
      </c>
      <c r="K31" s="55">
        <v>281</v>
      </c>
      <c r="L31" s="55">
        <v>278</v>
      </c>
      <c r="M31" s="55">
        <v>273</v>
      </c>
      <c r="N31" s="55">
        <v>278</v>
      </c>
      <c r="O31" s="55">
        <v>275</v>
      </c>
      <c r="P31" s="55">
        <v>255</v>
      </c>
      <c r="Q31" s="55">
        <v>278</v>
      </c>
      <c r="R31" s="58">
        <v>288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592E6-A771-4CEA-B0CA-5D18DD3148B5}">
  <dimension ref="A1:AG35"/>
  <sheetViews>
    <sheetView workbookViewId="0">
      <selection activeCell="E2" sqref="E2"/>
    </sheetView>
  </sheetViews>
  <sheetFormatPr defaultRowHeight="14.4"/>
  <cols>
    <col min="1" max="1" width="9.77734375" bestFit="1" customWidth="1"/>
    <col min="2" max="2" width="15.88671875" bestFit="1" customWidth="1"/>
    <col min="3" max="3" width="28" bestFit="1" customWidth="1"/>
    <col min="4" max="4" width="27.44140625" bestFit="1" customWidth="1"/>
    <col min="5" max="5" width="33.109375" bestFit="1" customWidth="1"/>
    <col min="6" max="6" width="27.44140625" bestFit="1" customWidth="1"/>
    <col min="7" max="7" width="33.109375" bestFit="1" customWidth="1"/>
    <col min="8" max="8" width="27.44140625" bestFit="1" customWidth="1"/>
    <col min="9" max="9" width="33.109375" bestFit="1" customWidth="1"/>
    <col min="10" max="10" width="27.44140625" bestFit="1" customWidth="1"/>
    <col min="11" max="11" width="33.109375" bestFit="1" customWidth="1"/>
    <col min="12" max="12" width="27.44140625" bestFit="1" customWidth="1"/>
    <col min="13" max="13" width="33.109375" bestFit="1" customWidth="1"/>
    <col min="14" max="14" width="27.44140625" bestFit="1" customWidth="1"/>
    <col min="15" max="15" width="33.109375" bestFit="1" customWidth="1"/>
    <col min="16" max="16" width="27.44140625" bestFit="1" customWidth="1"/>
    <col min="17" max="17" width="33.109375" bestFit="1" customWidth="1"/>
    <col min="18" max="18" width="27.44140625" bestFit="1" customWidth="1"/>
    <col min="19" max="19" width="33.109375" bestFit="1" customWidth="1"/>
    <col min="20" max="20" width="27.44140625" bestFit="1" customWidth="1"/>
    <col min="21" max="21" width="33.109375" bestFit="1" customWidth="1"/>
    <col min="22" max="22" width="28.44140625" bestFit="1" customWidth="1"/>
    <col min="23" max="23" width="34.21875" bestFit="1" customWidth="1"/>
    <col min="24" max="24" width="28.44140625" bestFit="1" customWidth="1"/>
    <col min="25" max="25" width="34.21875" bestFit="1" customWidth="1"/>
    <col min="26" max="26" width="28.44140625" bestFit="1" customWidth="1"/>
    <col min="27" max="27" width="34.21875" bestFit="1" customWidth="1"/>
    <col min="28" max="28" width="28.44140625" bestFit="1" customWidth="1"/>
    <col min="29" max="29" width="34.21875" bestFit="1" customWidth="1"/>
    <col min="30" max="30" width="28.44140625" bestFit="1" customWidth="1"/>
    <col min="31" max="31" width="34.21875" bestFit="1" customWidth="1"/>
    <col min="32" max="32" width="28.44140625" bestFit="1" customWidth="1"/>
    <col min="33" max="33" width="34.21875" bestFit="1" customWidth="1"/>
  </cols>
  <sheetData>
    <row r="1" spans="1:33">
      <c r="A1" s="166" t="s">
        <v>0</v>
      </c>
      <c r="B1" s="167" t="s">
        <v>119</v>
      </c>
      <c r="C1" s="167" t="s">
        <v>120</v>
      </c>
      <c r="D1" s="71" t="s">
        <v>131</v>
      </c>
      <c r="E1" s="71" t="s">
        <v>160</v>
      </c>
      <c r="F1" s="71" t="s">
        <v>132</v>
      </c>
      <c r="G1" s="71" t="s">
        <v>159</v>
      </c>
      <c r="H1" s="71" t="s">
        <v>133</v>
      </c>
      <c r="I1" s="71" t="s">
        <v>158</v>
      </c>
      <c r="J1" s="71" t="s">
        <v>134</v>
      </c>
      <c r="K1" s="71" t="s">
        <v>157</v>
      </c>
      <c r="L1" s="71" t="s">
        <v>135</v>
      </c>
      <c r="M1" s="71" t="s">
        <v>156</v>
      </c>
      <c r="N1" s="71" t="s">
        <v>136</v>
      </c>
      <c r="O1" s="71" t="s">
        <v>155</v>
      </c>
      <c r="P1" s="71" t="s">
        <v>137</v>
      </c>
      <c r="Q1" s="71" t="s">
        <v>154</v>
      </c>
      <c r="R1" s="71" t="s">
        <v>138</v>
      </c>
      <c r="S1" s="71" t="s">
        <v>153</v>
      </c>
      <c r="T1" s="71" t="s">
        <v>139</v>
      </c>
      <c r="U1" s="71" t="s">
        <v>152</v>
      </c>
      <c r="V1" s="71" t="s">
        <v>140</v>
      </c>
      <c r="W1" s="71" t="s">
        <v>151</v>
      </c>
      <c r="X1" s="71" t="s">
        <v>141</v>
      </c>
      <c r="Y1" s="71" t="s">
        <v>150</v>
      </c>
      <c r="Z1" s="71" t="s">
        <v>142</v>
      </c>
      <c r="AA1" s="71" t="s">
        <v>149</v>
      </c>
      <c r="AB1" s="71" t="s">
        <v>143</v>
      </c>
      <c r="AC1" s="71" t="s">
        <v>148</v>
      </c>
      <c r="AD1" s="71" t="s">
        <v>144</v>
      </c>
      <c r="AE1" s="71" t="s">
        <v>147</v>
      </c>
      <c r="AF1" s="71" t="s">
        <v>145</v>
      </c>
      <c r="AG1" s="71" t="s">
        <v>146</v>
      </c>
    </row>
    <row r="2" spans="1:33">
      <c r="A2" s="162"/>
      <c r="B2" s="161"/>
      <c r="C2" s="161"/>
      <c r="D2" s="72" t="s">
        <v>121</v>
      </c>
      <c r="E2" s="73" t="s">
        <v>122</v>
      </c>
      <c r="F2" s="74" t="s">
        <v>121</v>
      </c>
      <c r="G2" s="75" t="s">
        <v>122</v>
      </c>
      <c r="H2" s="76" t="s">
        <v>121</v>
      </c>
      <c r="I2" s="73" t="s">
        <v>122</v>
      </c>
      <c r="J2" s="77" t="s">
        <v>121</v>
      </c>
      <c r="K2" s="75" t="s">
        <v>122</v>
      </c>
      <c r="L2" s="77" t="s">
        <v>121</v>
      </c>
      <c r="M2" s="73" t="s">
        <v>122</v>
      </c>
      <c r="N2" s="77" t="s">
        <v>121</v>
      </c>
      <c r="O2" s="75" t="s">
        <v>122</v>
      </c>
      <c r="P2" s="76" t="s">
        <v>121</v>
      </c>
      <c r="Q2" s="75" t="s">
        <v>122</v>
      </c>
      <c r="R2" s="77" t="s">
        <v>121</v>
      </c>
      <c r="S2" s="75" t="s">
        <v>122</v>
      </c>
      <c r="T2" s="76" t="s">
        <v>121</v>
      </c>
      <c r="U2" s="73" t="s">
        <v>122</v>
      </c>
      <c r="V2" s="77" t="s">
        <v>121</v>
      </c>
      <c r="W2" s="75" t="s">
        <v>122</v>
      </c>
      <c r="X2" s="77" t="s">
        <v>121</v>
      </c>
      <c r="Y2" s="75" t="s">
        <v>122</v>
      </c>
      <c r="Z2" s="77" t="s">
        <v>121</v>
      </c>
      <c r="AA2" s="75" t="s">
        <v>122</v>
      </c>
      <c r="AB2" s="77" t="s">
        <v>121</v>
      </c>
      <c r="AC2" s="75" t="s">
        <v>122</v>
      </c>
      <c r="AD2" s="77" t="s">
        <v>121</v>
      </c>
      <c r="AE2" s="75" t="s">
        <v>122</v>
      </c>
      <c r="AF2" s="77" t="s">
        <v>121</v>
      </c>
      <c r="AG2" s="75" t="s">
        <v>122</v>
      </c>
    </row>
    <row r="3" spans="1:33">
      <c r="A3" s="163" t="s">
        <v>1</v>
      </c>
      <c r="B3" s="78" t="s">
        <v>4</v>
      </c>
      <c r="C3" s="78" t="s">
        <v>123</v>
      </c>
      <c r="D3" s="79">
        <v>775</v>
      </c>
      <c r="E3" s="80">
        <f>'[1]Utility Consumption'!D2/'[1]Specific Consumption'!D3</f>
        <v>0.22838709677419355</v>
      </c>
      <c r="F3" s="79">
        <v>782</v>
      </c>
      <c r="G3" s="80">
        <f>'[1]Utility Consumption'!E2/'[1]Specific Consumption'!F3</f>
        <v>0.22634271099744246</v>
      </c>
      <c r="H3" s="79">
        <v>785</v>
      </c>
      <c r="I3" s="80">
        <f>'[1]Utility Consumption'!F2/'[1]Specific Consumption'!H3</f>
        <v>0.22547770700636943</v>
      </c>
      <c r="J3" s="79">
        <v>813</v>
      </c>
      <c r="K3" s="80">
        <f>'[1]Utility Consumption'!G2/'[1]Specific Consumption'!J3</f>
        <v>0.21771217712177121</v>
      </c>
      <c r="L3" s="81">
        <v>860</v>
      </c>
      <c r="M3" s="80">
        <f>'[1]Utility Consumption'!H2/'[1]Specific Consumption'!L3</f>
        <v>0.20581395348837209</v>
      </c>
      <c r="N3" s="79">
        <v>879</v>
      </c>
      <c r="O3" s="80">
        <f>'[1]Utility Consumption'!I2/'[1]Specific Consumption'!N3</f>
        <v>0.20136518771331058</v>
      </c>
      <c r="P3" s="81">
        <v>923</v>
      </c>
      <c r="Q3" s="80">
        <f>'[1]Utility Consumption'!J2/'[1]Specific Consumption'!P3</f>
        <v>0.19176598049837487</v>
      </c>
      <c r="R3" s="79">
        <v>932</v>
      </c>
      <c r="S3" s="80">
        <f>'[1]Utility Consumption'!K2/'[1]Specific Consumption'!R3</f>
        <v>0.16416309012875535</v>
      </c>
      <c r="T3" s="79">
        <v>990</v>
      </c>
      <c r="U3" s="80">
        <f>'[1]Utility Consumption'!L2/'[1]Specific Consumption'!T3</f>
        <v>0.14646464646464646</v>
      </c>
      <c r="V3" s="81">
        <v>1019</v>
      </c>
      <c r="W3" s="80">
        <f>'[1]Utility Consumption'!M2/'[1]Specific Consumption'!V3</f>
        <v>0.17369970559371933</v>
      </c>
      <c r="X3" s="79">
        <v>906</v>
      </c>
      <c r="Y3" s="80">
        <f>'[1]Utility Consumption'!N2/'[1]Specific Consumption'!X3</f>
        <v>0.16004415011037529</v>
      </c>
      <c r="Z3" s="79">
        <v>897</v>
      </c>
      <c r="AA3" s="80">
        <f>'[1]Utility Consumption'!O2/'[1]Specific Consumption'!Z3</f>
        <v>0.16387959866220736</v>
      </c>
      <c r="AB3" s="79">
        <v>794</v>
      </c>
      <c r="AC3" s="80">
        <f>'[1]Utility Consumption'!P2/'[1]Specific Consumption'!AB3</f>
        <v>0.22292191435768263</v>
      </c>
      <c r="AD3" s="79">
        <v>872</v>
      </c>
      <c r="AE3" s="80">
        <f>'[1]Utility Consumption'!Q2/'[1]Specific Consumption'!AD3</f>
        <v>0.16513761467889909</v>
      </c>
      <c r="AF3" s="82">
        <v>825</v>
      </c>
      <c r="AG3" s="80">
        <f>'[1]Utility Consumption'!R2/'[1]Specific Consumption'!AF3</f>
        <v>0.17333333333333334</v>
      </c>
    </row>
    <row r="4" spans="1:33">
      <c r="A4" s="163" t="s">
        <v>1</v>
      </c>
      <c r="B4" s="78" t="s">
        <v>5</v>
      </c>
      <c r="C4" s="78" t="s">
        <v>124</v>
      </c>
      <c r="D4" s="79">
        <v>775</v>
      </c>
      <c r="E4" s="80">
        <f>'[1]Utility Consumption'!D3/'[1]Specific Consumption'!D4</f>
        <v>0.1135483870967742</v>
      </c>
      <c r="F4" s="79">
        <v>782</v>
      </c>
      <c r="G4" s="80">
        <f>'[1]Utility Consumption'!E3/'[1]Specific Consumption'!F4</f>
        <v>0.11253196930946291</v>
      </c>
      <c r="H4" s="79">
        <v>785</v>
      </c>
      <c r="I4" s="80">
        <f>'[1]Utility Consumption'!F3/'[1]Specific Consumption'!H4</f>
        <v>0.11082802547770701</v>
      </c>
      <c r="J4" s="79">
        <v>813</v>
      </c>
      <c r="K4" s="80">
        <f>'[1]Utility Consumption'!G3/'[1]Specific Consumption'!J4</f>
        <v>0.1070110701107011</v>
      </c>
      <c r="L4" s="81">
        <v>860</v>
      </c>
      <c r="M4" s="80">
        <f>'[1]Utility Consumption'!H3/'[1]Specific Consumption'!L4</f>
        <v>0.10116279069767442</v>
      </c>
      <c r="N4" s="79">
        <v>879</v>
      </c>
      <c r="O4" s="80">
        <f>'[1]Utility Consumption'!I3/'[1]Specific Consumption'!N4</f>
        <v>9.8976109215017066E-2</v>
      </c>
      <c r="P4" s="81">
        <v>923</v>
      </c>
      <c r="Q4" s="80">
        <f>'[1]Utility Consumption'!J3/'[1]Specific Consumption'!P4</f>
        <v>9.425785482123511E-2</v>
      </c>
      <c r="R4" s="79">
        <v>932</v>
      </c>
      <c r="S4" s="80">
        <f>'[1]Utility Consumption'!K3/'[1]Specific Consumption'!R4</f>
        <v>9.5493562231759657E-2</v>
      </c>
      <c r="T4" s="79">
        <v>990</v>
      </c>
      <c r="U4" s="80">
        <f>'[1]Utility Consumption'!L3/'[1]Specific Consumption'!T4</f>
        <v>8.9898989898989895E-2</v>
      </c>
      <c r="V4" s="81">
        <v>1019</v>
      </c>
      <c r="W4" s="80">
        <f>'[1]Utility Consumption'!M3/'[1]Specific Consumption'!V4</f>
        <v>8.6359175662414134E-2</v>
      </c>
      <c r="X4" s="79">
        <v>906</v>
      </c>
      <c r="Y4" s="80">
        <f>'[1]Utility Consumption'!N3/'[1]Specific Consumption'!X4</f>
        <v>0.10154525386313466</v>
      </c>
      <c r="Z4" s="79">
        <v>897</v>
      </c>
      <c r="AA4" s="80">
        <f>'[1]Utility Consumption'!O3/'[1]Specific Consumption'!Z4</f>
        <v>0.10590858416945373</v>
      </c>
      <c r="AB4" s="79">
        <v>794</v>
      </c>
      <c r="AC4" s="80">
        <f>'[1]Utility Consumption'!P3/'[1]Specific Consumption'!AB4</f>
        <v>0.11083123425692695</v>
      </c>
      <c r="AD4" s="79">
        <v>872</v>
      </c>
      <c r="AE4" s="80">
        <f>'[1]Utility Consumption'!Q3/'[1]Specific Consumption'!AD4</f>
        <v>0.10779816513761468</v>
      </c>
      <c r="AF4" s="82">
        <v>825</v>
      </c>
      <c r="AG4" s="80">
        <f>'[1]Utility Consumption'!R3/'[1]Specific Consumption'!AF4</f>
        <v>0.11393939393939394</v>
      </c>
    </row>
    <row r="5" spans="1:33">
      <c r="A5" s="163" t="s">
        <v>1</v>
      </c>
      <c r="B5" s="78" t="s">
        <v>6</v>
      </c>
      <c r="C5" s="78" t="s">
        <v>124</v>
      </c>
      <c r="D5" s="79">
        <v>775</v>
      </c>
      <c r="E5" s="80">
        <f>'[1]Utility Consumption'!D4/'[1]Specific Consumption'!D5</f>
        <v>0.20129032258064516</v>
      </c>
      <c r="F5" s="79">
        <v>782</v>
      </c>
      <c r="G5" s="80">
        <f>'[1]Utility Consumption'!E4/'[1]Specific Consumption'!F5</f>
        <v>0.20076726342710999</v>
      </c>
      <c r="H5" s="79">
        <v>785</v>
      </c>
      <c r="I5" s="80">
        <f>'[1]Utility Consumption'!F4/'[1]Specific Consumption'!H5</f>
        <v>0.19490445859872613</v>
      </c>
      <c r="J5" s="79">
        <v>813</v>
      </c>
      <c r="K5" s="80">
        <f>'[1]Utility Consumption'!G4/'[1]Specific Consumption'!J5</f>
        <v>0.1943419434194342</v>
      </c>
      <c r="L5" s="81">
        <v>860</v>
      </c>
      <c r="M5" s="80">
        <f>'[1]Utility Consumption'!H4/'[1]Specific Consumption'!L5</f>
        <v>0.17906976744186046</v>
      </c>
      <c r="N5" s="79">
        <v>879</v>
      </c>
      <c r="O5" s="80">
        <f>'[1]Utility Consumption'!I4/'[1]Specific Consumption'!N5</f>
        <v>0.17406143344709898</v>
      </c>
      <c r="P5" s="81">
        <v>923</v>
      </c>
      <c r="Q5" s="80">
        <f>'[1]Utility Consumption'!J4/'[1]Specific Consumption'!P5</f>
        <v>0.16793066088840736</v>
      </c>
      <c r="R5" s="79">
        <v>932</v>
      </c>
      <c r="S5" s="80">
        <f>'[1]Utility Consumption'!K4/'[1]Specific Consumption'!R5</f>
        <v>0.16630901287553648</v>
      </c>
      <c r="T5" s="79">
        <v>990</v>
      </c>
      <c r="U5" s="80">
        <f>'[1]Utility Consumption'!L4/'[1]Specific Consumption'!T5</f>
        <v>0.15858585858585858</v>
      </c>
      <c r="V5" s="81">
        <v>1019</v>
      </c>
      <c r="W5" s="80">
        <f>'[1]Utility Consumption'!M4/'[1]Specific Consumption'!V5</f>
        <v>0.15309126594700687</v>
      </c>
      <c r="X5" s="79">
        <v>906</v>
      </c>
      <c r="Y5" s="80">
        <f>'[1]Utility Consumption'!N4/'[1]Specific Consumption'!X5</f>
        <v>0.20529801324503311</v>
      </c>
      <c r="Z5" s="79">
        <v>897</v>
      </c>
      <c r="AA5" s="80">
        <f>'[1]Utility Consumption'!O4/'[1]Specific Consumption'!Z5</f>
        <v>0.20847268673355629</v>
      </c>
      <c r="AB5" s="79">
        <v>794</v>
      </c>
      <c r="AC5" s="80">
        <f>'[1]Utility Consumption'!P4/'[1]Specific Consumption'!AB5</f>
        <v>0.19773299748110831</v>
      </c>
      <c r="AD5" s="79">
        <v>872</v>
      </c>
      <c r="AE5" s="80">
        <f>'[1]Utility Consumption'!Q4/'[1]Specific Consumption'!AD5</f>
        <v>0.22018348623853212</v>
      </c>
      <c r="AF5" s="82">
        <v>825</v>
      </c>
      <c r="AG5" s="80">
        <f>'[1]Utility Consumption'!R4/'[1]Specific Consumption'!AF5</f>
        <v>0.23272727272727273</v>
      </c>
    </row>
    <row r="6" spans="1:33">
      <c r="A6" s="163" t="s">
        <v>1</v>
      </c>
      <c r="B6" s="78" t="s">
        <v>37</v>
      </c>
      <c r="C6" s="78" t="s">
        <v>125</v>
      </c>
      <c r="D6" s="79">
        <v>775</v>
      </c>
      <c r="E6" s="80">
        <f>'[1]Utility Consumption'!D5/'[1]Specific Consumption'!D6</f>
        <v>6.4516129032258064E-3</v>
      </c>
      <c r="F6" s="79">
        <v>782</v>
      </c>
      <c r="G6" s="80">
        <f>'[1]Utility Consumption'!E5/'[1]Specific Consumption'!F6</f>
        <v>3.8363171355498722E-3</v>
      </c>
      <c r="H6" s="79">
        <v>785</v>
      </c>
      <c r="I6" s="80">
        <f>'[1]Utility Consumption'!F5/'[1]Specific Consumption'!H6</f>
        <v>6.369426751592357E-3</v>
      </c>
      <c r="J6" s="79">
        <v>813</v>
      </c>
      <c r="K6" s="80">
        <f>'[1]Utility Consumption'!G5/'[1]Specific Consumption'!J6</f>
        <v>1.2300123001230013E-3</v>
      </c>
      <c r="L6" s="81">
        <v>860</v>
      </c>
      <c r="M6" s="80">
        <f>'[1]Utility Consumption'!H5/'[1]Specific Consumption'!L6</f>
        <v>3.4883720930232558E-3</v>
      </c>
      <c r="N6" s="79">
        <v>879</v>
      </c>
      <c r="O6" s="80">
        <f>'[1]Utility Consumption'!I5/'[1]Specific Consumption'!N6</f>
        <v>2.2753128555176336E-3</v>
      </c>
      <c r="P6" s="81">
        <v>923</v>
      </c>
      <c r="Q6" s="80">
        <f>'[1]Utility Consumption'!J5/'[1]Specific Consumption'!P6</f>
        <v>3.2502708559046588E-3</v>
      </c>
      <c r="R6" s="79">
        <v>932</v>
      </c>
      <c r="S6" s="80">
        <f>'[1]Utility Consumption'!K5/'[1]Specific Consumption'!R6</f>
        <v>1.0729613733905579E-3</v>
      </c>
      <c r="T6" s="79">
        <v>990</v>
      </c>
      <c r="U6" s="80">
        <f>'[1]Utility Consumption'!L5/'[1]Specific Consumption'!T6</f>
        <v>1.0101010101010101E-3</v>
      </c>
      <c r="V6" s="81">
        <v>1019</v>
      </c>
      <c r="W6" s="80">
        <f>'[1]Utility Consumption'!M5/'[1]Specific Consumption'!V6</f>
        <v>4.9067713444553487E-3</v>
      </c>
      <c r="X6" s="79">
        <v>906</v>
      </c>
      <c r="Y6" s="80">
        <f>'[1]Utility Consumption'!N5/'[1]Specific Consumption'!X6</f>
        <v>1.1037527593818985E-3</v>
      </c>
      <c r="Z6" s="79">
        <v>897</v>
      </c>
      <c r="AA6" s="80">
        <f>'[1]Utility Consumption'!O5/'[1]Specific Consumption'!Z6</f>
        <v>0</v>
      </c>
      <c r="AB6" s="79">
        <v>794</v>
      </c>
      <c r="AC6" s="80">
        <f>'[1]Utility Consumption'!P5/'[1]Specific Consumption'!AB6</f>
        <v>3.778337531486146E-3</v>
      </c>
      <c r="AD6" s="79">
        <v>872</v>
      </c>
      <c r="AE6" s="80">
        <f>'[1]Utility Consumption'!Q5/'[1]Specific Consumption'!AD6</f>
        <v>1.1467889908256881E-3</v>
      </c>
      <c r="AF6" s="82">
        <v>825</v>
      </c>
      <c r="AG6" s="80">
        <f>'[1]Utility Consumption'!R5/'[1]Specific Consumption'!AF6</f>
        <v>2.4242424242424242E-3</v>
      </c>
    </row>
    <row r="7" spans="1:33">
      <c r="A7" s="163" t="s">
        <v>1</v>
      </c>
      <c r="B7" s="78" t="s">
        <v>7</v>
      </c>
      <c r="C7" s="78" t="s">
        <v>125</v>
      </c>
      <c r="D7" s="79">
        <v>775</v>
      </c>
      <c r="E7" s="80">
        <f>'[1]Utility Consumption'!D6/'[1]Specific Consumption'!D7</f>
        <v>0.15225806451612903</v>
      </c>
      <c r="F7" s="79">
        <v>782</v>
      </c>
      <c r="G7" s="80">
        <f>'[1]Utility Consumption'!E6/'[1]Specific Consumption'!F7</f>
        <v>0.14705882352941177</v>
      </c>
      <c r="H7" s="79">
        <v>785</v>
      </c>
      <c r="I7" s="80">
        <f>'[1]Utility Consumption'!F6/'[1]Specific Consumption'!H7</f>
        <v>0.15031847133757961</v>
      </c>
      <c r="J7" s="79">
        <v>813</v>
      </c>
      <c r="K7" s="80">
        <f>'[1]Utility Consumption'!G6/'[1]Specific Consumption'!J7</f>
        <v>0.31611316113161131</v>
      </c>
      <c r="L7" s="81">
        <v>860</v>
      </c>
      <c r="M7" s="80">
        <f>'[1]Utility Consumption'!H6/'[1]Specific Consumption'!L7</f>
        <v>0.13953488372093023</v>
      </c>
      <c r="N7" s="79">
        <v>879</v>
      </c>
      <c r="O7" s="80">
        <f>'[1]Utility Consumption'!I6/'[1]Specific Consumption'!N7</f>
        <v>0.13538111490329921</v>
      </c>
      <c r="P7" s="81">
        <v>923</v>
      </c>
      <c r="Q7" s="80">
        <f>'[1]Utility Consumption'!J6/'[1]Specific Consumption'!P7</f>
        <v>0.12676056338028169</v>
      </c>
      <c r="R7" s="79">
        <v>932</v>
      </c>
      <c r="S7" s="80">
        <f>'[1]Utility Consumption'!K6/'[1]Specific Consumption'!R7</f>
        <v>0.18240343347639484</v>
      </c>
      <c r="T7" s="79">
        <v>990</v>
      </c>
      <c r="U7" s="80">
        <f>'[1]Utility Consumption'!L6/'[1]Specific Consumption'!T7</f>
        <v>0.27373737373737372</v>
      </c>
      <c r="V7" s="81">
        <v>1019</v>
      </c>
      <c r="W7" s="80">
        <f>'[1]Utility Consumption'!M6/'[1]Specific Consumption'!V7</f>
        <v>0.11579980372914622</v>
      </c>
      <c r="X7" s="79">
        <v>906</v>
      </c>
      <c r="Y7" s="80">
        <f>'[1]Utility Consumption'!N6/'[1]Specific Consumption'!X7</f>
        <v>0.11920529801324503</v>
      </c>
      <c r="Z7" s="79">
        <v>897</v>
      </c>
      <c r="AA7" s="80">
        <f>'[1]Utility Consumption'!O6/'[1]Specific Consumption'!Z7</f>
        <v>0.11371237458193979</v>
      </c>
      <c r="AB7" s="79">
        <v>794</v>
      </c>
      <c r="AC7" s="80">
        <f>'[1]Utility Consumption'!P6/'[1]Specific Consumption'!AB7</f>
        <v>0.14483627204030228</v>
      </c>
      <c r="AD7" s="79">
        <v>872</v>
      </c>
      <c r="AE7" s="80">
        <f>'[1]Utility Consumption'!Q6/'[1]Specific Consumption'!AD7</f>
        <v>0.14793577981651376</v>
      </c>
      <c r="AF7" s="82">
        <v>825</v>
      </c>
      <c r="AG7" s="80">
        <f>'[1]Utility Consumption'!R6/'[1]Specific Consumption'!AF7</f>
        <v>0.16606060606060605</v>
      </c>
    </row>
    <row r="8" spans="1:33">
      <c r="A8" s="163" t="s">
        <v>1</v>
      </c>
      <c r="B8" s="78" t="s">
        <v>8</v>
      </c>
      <c r="C8" s="78" t="s">
        <v>126</v>
      </c>
      <c r="D8" s="79">
        <v>775</v>
      </c>
      <c r="E8" s="80">
        <f>'[1]Utility Consumption'!D7/'[1]Specific Consumption'!D8</f>
        <v>3.8709677419354839E-3</v>
      </c>
      <c r="F8" s="79">
        <v>782</v>
      </c>
      <c r="G8" s="80">
        <f>'[1]Utility Consumption'!E7/'[1]Specific Consumption'!F8</f>
        <v>2.5575447570332483E-3</v>
      </c>
      <c r="H8" s="79">
        <v>785</v>
      </c>
      <c r="I8" s="80">
        <f>'[1]Utility Consumption'!F7/'[1]Specific Consumption'!H8</f>
        <v>5.0955414012738851E-3</v>
      </c>
      <c r="J8" s="79">
        <v>813</v>
      </c>
      <c r="K8" s="80">
        <f>'[1]Utility Consumption'!G7/'[1]Specific Consumption'!J8</f>
        <v>6.1500615006150061E-3</v>
      </c>
      <c r="L8" s="81">
        <v>860</v>
      </c>
      <c r="M8" s="80">
        <f>'[1]Utility Consumption'!H7/'[1]Specific Consumption'!L8</f>
        <v>3.4883720930232558E-3</v>
      </c>
      <c r="N8" s="79">
        <v>879</v>
      </c>
      <c r="O8" s="80">
        <f>'[1]Utility Consumption'!I7/'[1]Specific Consumption'!N8</f>
        <v>1.1376564277588168E-3</v>
      </c>
      <c r="P8" s="81">
        <v>923</v>
      </c>
      <c r="Q8" s="80">
        <f>'[1]Utility Consumption'!J7/'[1]Specific Consumption'!P8</f>
        <v>1.0834236186348862E-3</v>
      </c>
      <c r="R8" s="79">
        <v>932</v>
      </c>
      <c r="S8" s="80">
        <f>'[1]Utility Consumption'!K7/'[1]Specific Consumption'!R8</f>
        <v>2.1459227467811159E-3</v>
      </c>
      <c r="T8" s="79">
        <v>990</v>
      </c>
      <c r="U8" s="80">
        <f>'[1]Utility Consumption'!L7/'[1]Specific Consumption'!T8</f>
        <v>1.0101010101010101E-3</v>
      </c>
      <c r="V8" s="81">
        <v>1019</v>
      </c>
      <c r="W8" s="80">
        <f>'[1]Utility Consumption'!M7/'[1]Specific Consumption'!V8</f>
        <v>2.944062806673209E-3</v>
      </c>
      <c r="X8" s="79">
        <v>906</v>
      </c>
      <c r="Y8" s="80">
        <f>'[1]Utility Consumption'!N7/'[1]Specific Consumption'!X8</f>
        <v>1.1037527593818985E-3</v>
      </c>
      <c r="Z8" s="79">
        <v>897</v>
      </c>
      <c r="AA8" s="80">
        <f>'[1]Utility Consumption'!O7/'[1]Specific Consumption'!Z8</f>
        <v>1.1148272017837235E-3</v>
      </c>
      <c r="AB8" s="79">
        <v>794</v>
      </c>
      <c r="AC8" s="80">
        <f>'[1]Utility Consumption'!P7/'[1]Specific Consumption'!AB8</f>
        <v>2.5188916876574307E-3</v>
      </c>
      <c r="AD8" s="79">
        <v>872</v>
      </c>
      <c r="AE8" s="80">
        <f>'[1]Utility Consumption'!Q7/'[1]Specific Consumption'!AD8</f>
        <v>3.4403669724770644E-3</v>
      </c>
      <c r="AF8" s="82">
        <v>825</v>
      </c>
      <c r="AG8" s="80">
        <f>'[1]Utility Consumption'!R7/'[1]Specific Consumption'!AF8</f>
        <v>1.2121212121212121E-3</v>
      </c>
    </row>
    <row r="9" spans="1:33">
      <c r="A9" s="163" t="s">
        <v>1</v>
      </c>
      <c r="B9" s="78" t="s">
        <v>9</v>
      </c>
      <c r="C9" s="78" t="s">
        <v>127</v>
      </c>
      <c r="D9" s="79">
        <v>775</v>
      </c>
      <c r="E9" s="80">
        <f>'[1]Utility Consumption'!D8/'[1]Specific Consumption'!D9</f>
        <v>4.3870967741935482E-2</v>
      </c>
      <c r="F9" s="79">
        <v>782</v>
      </c>
      <c r="G9" s="80">
        <f>'[1]Utility Consumption'!E8/'[1]Specific Consumption'!F9</f>
        <v>4.3478260869565216E-2</v>
      </c>
      <c r="H9" s="79">
        <v>785</v>
      </c>
      <c r="I9" s="80">
        <f>'[1]Utility Consumption'!F8/'[1]Specific Consumption'!H9</f>
        <v>4.3312101910828023E-2</v>
      </c>
      <c r="J9" s="79">
        <v>813</v>
      </c>
      <c r="K9" s="80">
        <f>'[1]Utility Consumption'!G8/'[1]Specific Consumption'!J9</f>
        <v>4.1820418204182044E-2</v>
      </c>
      <c r="L9" s="81">
        <v>860</v>
      </c>
      <c r="M9" s="80">
        <f>'[1]Utility Consumption'!H8/'[1]Specific Consumption'!L9</f>
        <v>3.9534883720930232E-2</v>
      </c>
      <c r="N9" s="79">
        <v>879</v>
      </c>
      <c r="O9" s="80">
        <f>'[1]Utility Consumption'!I8/'[1]Specific Consumption'!N9</f>
        <v>3.8680318543799774E-2</v>
      </c>
      <c r="P9" s="81">
        <v>923</v>
      </c>
      <c r="Q9" s="80">
        <f>'[1]Utility Consumption'!J8/'[1]Specific Consumption'!P9</f>
        <v>3.6836403033586131E-2</v>
      </c>
      <c r="R9" s="79">
        <v>932</v>
      </c>
      <c r="S9" s="80">
        <f>'[1]Utility Consumption'!K8/'[1]Specific Consumption'!R9</f>
        <v>3.5407725321888413E-2</v>
      </c>
      <c r="T9" s="79">
        <v>990</v>
      </c>
      <c r="U9" s="80">
        <f>'[1]Utility Consumption'!L8/'[1]Specific Consumption'!T9</f>
        <v>3.4343434343434343E-2</v>
      </c>
      <c r="V9" s="81">
        <v>1019</v>
      </c>
      <c r="W9" s="80">
        <f>'[1]Utility Consumption'!M8/'[1]Specific Consumption'!V9</f>
        <v>3.3366045142296366E-2</v>
      </c>
      <c r="X9" s="79">
        <v>906</v>
      </c>
      <c r="Y9" s="80">
        <f>'[1]Utility Consumption'!N8/'[1]Specific Consumption'!X9</f>
        <v>3.7527593818984545E-2</v>
      </c>
      <c r="Z9" s="79">
        <v>897</v>
      </c>
      <c r="AA9" s="80">
        <f>'[1]Utility Consumption'!O8/'[1]Specific Consumption'!Z9</f>
        <v>3.678929765886288E-2</v>
      </c>
      <c r="AB9" s="79">
        <v>794</v>
      </c>
      <c r="AC9" s="80">
        <f>'[1]Utility Consumption'!P8/'[1]Specific Consumption'!AB9</f>
        <v>4.2821158690176324E-2</v>
      </c>
      <c r="AD9" s="79">
        <v>872</v>
      </c>
      <c r="AE9" s="80">
        <f>'[1]Utility Consumption'!Q8/'[1]Specific Consumption'!AD9</f>
        <v>3.8990825688073397E-2</v>
      </c>
      <c r="AF9" s="82">
        <v>825</v>
      </c>
      <c r="AG9" s="80">
        <f>'[1]Utility Consumption'!R8/'[1]Specific Consumption'!AF9</f>
        <v>4.1212121212121214E-2</v>
      </c>
    </row>
    <row r="10" spans="1:33">
      <c r="A10" s="163" t="s">
        <v>1</v>
      </c>
      <c r="B10" s="78" t="s">
        <v>10</v>
      </c>
      <c r="C10" s="78" t="s">
        <v>127</v>
      </c>
      <c r="D10" s="79">
        <v>775</v>
      </c>
      <c r="E10" s="80">
        <f>'[1]Utility Consumption'!D9/'[1]Specific Consumption'!D10</f>
        <v>0.04</v>
      </c>
      <c r="F10" s="79">
        <v>782</v>
      </c>
      <c r="G10" s="80">
        <f>'[1]Utility Consumption'!E9/'[1]Specific Consumption'!F10</f>
        <v>3.9641943734015347E-2</v>
      </c>
      <c r="H10" s="79">
        <v>785</v>
      </c>
      <c r="I10" s="80">
        <f>'[1]Utility Consumption'!F9/'[1]Specific Consumption'!H10</f>
        <v>3.8216560509554139E-2</v>
      </c>
      <c r="J10" s="79">
        <v>813</v>
      </c>
      <c r="K10" s="80">
        <f>'[1]Utility Consumption'!G9/'[1]Specific Consumption'!J10</f>
        <v>3.3210332103321034E-2</v>
      </c>
      <c r="L10" s="81">
        <v>860</v>
      </c>
      <c r="M10" s="80">
        <f>'[1]Utility Consumption'!H9/'[1]Specific Consumption'!L10</f>
        <v>3.1395348837209305E-2</v>
      </c>
      <c r="N10" s="79">
        <v>879</v>
      </c>
      <c r="O10" s="80">
        <f>'[1]Utility Consumption'!I9/'[1]Specific Consumption'!N10</f>
        <v>3.0716723549488054E-2</v>
      </c>
      <c r="P10" s="81">
        <v>923</v>
      </c>
      <c r="Q10" s="80">
        <f>'[1]Utility Consumption'!J9/'[1]Specific Consumption'!P10</f>
        <v>2.9252437703141929E-2</v>
      </c>
      <c r="R10" s="79">
        <v>932</v>
      </c>
      <c r="S10" s="80">
        <f>'[1]Utility Consumption'!K9/'[1]Specific Consumption'!R10</f>
        <v>2.8969957081545063E-2</v>
      </c>
      <c r="T10" s="79">
        <v>990</v>
      </c>
      <c r="U10" s="80">
        <f>'[1]Utility Consumption'!L9/'[1]Specific Consumption'!T10</f>
        <v>2.8282828282828285E-2</v>
      </c>
      <c r="V10" s="81">
        <v>1019</v>
      </c>
      <c r="W10" s="80">
        <f>'[1]Utility Consumption'!M9/'[1]Specific Consumption'!V10</f>
        <v>3.0421982335623161E-2</v>
      </c>
      <c r="X10" s="79">
        <v>906</v>
      </c>
      <c r="Y10" s="80">
        <f>'[1]Utility Consumption'!N9/'[1]Specific Consumption'!X10</f>
        <v>2.8697571743929361E-2</v>
      </c>
      <c r="Z10" s="79">
        <v>897</v>
      </c>
      <c r="AA10" s="80">
        <f>'[1]Utility Consumption'!O9/'[1]Specific Consumption'!Z10</f>
        <v>2.7870680044593088E-2</v>
      </c>
      <c r="AB10" s="79">
        <v>794</v>
      </c>
      <c r="AC10" s="80">
        <f>'[1]Utility Consumption'!P9/'[1]Specific Consumption'!AB10</f>
        <v>3.9042821158690177E-2</v>
      </c>
      <c r="AD10" s="79">
        <v>872</v>
      </c>
      <c r="AE10" s="80">
        <f>'[1]Utility Consumption'!Q9/'[1]Specific Consumption'!AD10</f>
        <v>2.8669724770642203E-2</v>
      </c>
      <c r="AF10" s="82">
        <v>825</v>
      </c>
      <c r="AG10" s="80">
        <f>'[1]Utility Consumption'!R9/'[1]Specific Consumption'!AF10</f>
        <v>2.9090909090909091E-2</v>
      </c>
    </row>
    <row r="11" spans="1:33">
      <c r="A11" s="163" t="s">
        <v>1</v>
      </c>
      <c r="B11" s="78" t="s">
        <v>11</v>
      </c>
      <c r="C11" s="78" t="s">
        <v>128</v>
      </c>
      <c r="D11" s="79">
        <v>775</v>
      </c>
      <c r="E11" s="80">
        <f>'[1]Utility Consumption'!D10/'[1]Specific Consumption'!D11</f>
        <v>0.47225806451612901</v>
      </c>
      <c r="F11" s="79">
        <v>782</v>
      </c>
      <c r="G11" s="80">
        <f>'[1]Utility Consumption'!E10/'[1]Specific Consumption'!F11</f>
        <v>0.44629156010230181</v>
      </c>
      <c r="H11" s="79">
        <v>785</v>
      </c>
      <c r="I11" s="80">
        <f>'[1]Utility Consumption'!F10/'[1]Specific Consumption'!H11</f>
        <v>0.47388535031847134</v>
      </c>
      <c r="J11" s="79">
        <v>813</v>
      </c>
      <c r="K11" s="80">
        <f>'[1]Utility Consumption'!G10/'[1]Specific Consumption'!J11</f>
        <v>0.45141451414514144</v>
      </c>
      <c r="L11" s="81">
        <v>860</v>
      </c>
      <c r="M11" s="80">
        <f>'[1]Utility Consumption'!H10/'[1]Specific Consumption'!L11</f>
        <v>0.4325581395348837</v>
      </c>
      <c r="N11" s="79">
        <v>879</v>
      </c>
      <c r="O11" s="80">
        <f>'[1]Utility Consumption'!I10/'[1]Specific Consumption'!N11</f>
        <v>0.41865756541524457</v>
      </c>
      <c r="P11" s="81">
        <v>923</v>
      </c>
      <c r="Q11" s="80">
        <f>'[1]Utility Consumption'!J10/'[1]Specific Consumption'!P11</f>
        <v>0.40195016251354282</v>
      </c>
      <c r="R11" s="79">
        <v>932</v>
      </c>
      <c r="S11" s="80">
        <f>'[1]Utility Consumption'!K10/'[1]Specific Consumption'!R11</f>
        <v>0.37553648068669526</v>
      </c>
      <c r="T11" s="79">
        <v>990</v>
      </c>
      <c r="U11" s="80">
        <f>'[1]Utility Consumption'!L10/'[1]Specific Consumption'!T11</f>
        <v>0.3575757575757576</v>
      </c>
      <c r="V11" s="81">
        <v>1019</v>
      </c>
      <c r="W11" s="80">
        <f>'[1]Utility Consumption'!M10/'[1]Specific Consumption'!V11</f>
        <v>0.35917566241413151</v>
      </c>
      <c r="X11" s="79">
        <v>906</v>
      </c>
      <c r="Y11" s="80">
        <f>'[1]Utility Consumption'!N10/'[1]Specific Consumption'!X11</f>
        <v>0.38520971302428259</v>
      </c>
      <c r="Z11" s="79">
        <v>897</v>
      </c>
      <c r="AA11" s="80">
        <f>'[1]Utility Consumption'!O10/'[1]Specific Consumption'!Z11</f>
        <v>0.39018952062430323</v>
      </c>
      <c r="AB11" s="79">
        <v>794</v>
      </c>
      <c r="AC11" s="80">
        <f>'[1]Utility Consumption'!P10/'[1]Specific Consumption'!AB11</f>
        <v>0.43954659949622166</v>
      </c>
      <c r="AD11" s="79">
        <v>872</v>
      </c>
      <c r="AE11" s="80">
        <f>'[1]Utility Consumption'!Q10/'[1]Specific Consumption'!AD11</f>
        <v>0.4243119266055046</v>
      </c>
      <c r="AF11" s="82">
        <v>825</v>
      </c>
      <c r="AG11" s="80">
        <f>'[1]Utility Consumption'!R10/'[1]Specific Consumption'!AF11</f>
        <v>0.44969696969696971</v>
      </c>
    </row>
    <row r="12" spans="1:33">
      <c r="A12" s="163" t="s">
        <v>1</v>
      </c>
      <c r="B12" s="78" t="s">
        <v>12</v>
      </c>
      <c r="C12" s="78" t="s">
        <v>124</v>
      </c>
      <c r="D12" s="79">
        <v>775</v>
      </c>
      <c r="E12" s="80">
        <f>'[1]Utility Consumption'!D11/'[1]Specific Consumption'!D12</f>
        <v>6.4516129032258063E-2</v>
      </c>
      <c r="F12" s="79">
        <v>782</v>
      </c>
      <c r="G12" s="80">
        <f>'[1]Utility Consumption'!E11/'[1]Specific Consumption'!F12</f>
        <v>6.3938618925831206E-2</v>
      </c>
      <c r="H12" s="79">
        <v>785</v>
      </c>
      <c r="I12" s="80">
        <f>'[1]Utility Consumption'!F11/'[1]Specific Consumption'!H12</f>
        <v>6.4968152866242038E-2</v>
      </c>
      <c r="J12" s="79">
        <v>813</v>
      </c>
      <c r="K12" s="80">
        <f>'[1]Utility Consumption'!G11/'[1]Specific Consumption'!J12</f>
        <v>6.273062730627306E-2</v>
      </c>
      <c r="L12" s="81">
        <v>860</v>
      </c>
      <c r="M12" s="80">
        <f>'[1]Utility Consumption'!H11/'[1]Specific Consumption'!L12</f>
        <v>5.8139534883720929E-2</v>
      </c>
      <c r="N12" s="79">
        <v>879</v>
      </c>
      <c r="O12" s="80">
        <f>'[1]Utility Consumption'!I11/'[1]Specific Consumption'!N12</f>
        <v>5.9158134243458477E-2</v>
      </c>
      <c r="P12" s="81">
        <v>923</v>
      </c>
      <c r="Q12" s="80">
        <f>'[1]Utility Consumption'!J11/'[1]Specific Consumption'!P12</f>
        <v>5.0920910075839654E-2</v>
      </c>
      <c r="R12" s="79">
        <v>932</v>
      </c>
      <c r="S12" s="80">
        <f>'[1]Utility Consumption'!K11/'[1]Specific Consumption'!R12</f>
        <v>4.7210300429184553E-2</v>
      </c>
      <c r="T12" s="79">
        <v>990</v>
      </c>
      <c r="U12" s="80">
        <f>'[1]Utility Consumption'!L11/'[1]Specific Consumption'!T12</f>
        <v>5.0505050505050504E-2</v>
      </c>
      <c r="V12" s="81">
        <v>1019</v>
      </c>
      <c r="W12" s="80">
        <f>'[1]Utility Consumption'!M11/'[1]Specific Consumption'!V12</f>
        <v>4.9067713444553483E-2</v>
      </c>
      <c r="X12" s="79">
        <v>906</v>
      </c>
      <c r="Y12" s="80">
        <f>'[1]Utility Consumption'!N11/'[1]Specific Consumption'!X12</f>
        <v>5.6291390728476824E-2</v>
      </c>
      <c r="Z12" s="79">
        <v>897</v>
      </c>
      <c r="AA12" s="80">
        <f>'[1]Utility Consumption'!O11/'[1]Specific Consumption'!Z12</f>
        <v>5.6856187290969896E-2</v>
      </c>
      <c r="AB12" s="79">
        <v>794</v>
      </c>
      <c r="AC12" s="80">
        <f>'[1]Utility Consumption'!P11/'[1]Specific Consumption'!AB12</f>
        <v>6.2972292191435769E-2</v>
      </c>
      <c r="AD12" s="79">
        <v>872</v>
      </c>
      <c r="AE12" s="80">
        <f>'[1]Utility Consumption'!Q11/'[1]Specific Consumption'!AD12</f>
        <v>5.7339449541284407E-2</v>
      </c>
      <c r="AF12" s="82">
        <v>825</v>
      </c>
      <c r="AG12" s="80">
        <f>'[1]Utility Consumption'!R11/'[1]Specific Consumption'!AF12</f>
        <v>5.9393939393939395E-2</v>
      </c>
    </row>
    <row r="13" spans="1:33">
      <c r="A13" s="163" t="s">
        <v>1</v>
      </c>
      <c r="B13" s="78" t="s">
        <v>15</v>
      </c>
      <c r="C13" s="78" t="s">
        <v>129</v>
      </c>
      <c r="D13" s="79">
        <v>775</v>
      </c>
      <c r="E13" s="80">
        <f>[1]Production!D8/'[1]Specific Consumption'!D13</f>
        <v>0.10064516129032258</v>
      </c>
      <c r="F13" s="79">
        <v>782</v>
      </c>
      <c r="G13" s="80">
        <f>[1]Production!E8/'[1]Specific Consumption'!F13</f>
        <v>9.9744245524296671E-2</v>
      </c>
      <c r="H13" s="79">
        <v>785</v>
      </c>
      <c r="I13" s="80">
        <f>[1]Production!F8/'[1]Specific Consumption'!H13</f>
        <v>0.10445859872611465</v>
      </c>
      <c r="J13" s="79">
        <v>813</v>
      </c>
      <c r="K13" s="80">
        <f>[1]Production!G8/'[1]Specific Consumption'!J13</f>
        <v>0.10824108241082411</v>
      </c>
      <c r="L13" s="81">
        <v>860</v>
      </c>
      <c r="M13" s="80">
        <f>[1]Production!H8/'[1]Specific Consumption'!L13</f>
        <v>0.10465116279069768</v>
      </c>
      <c r="N13" s="79">
        <v>879</v>
      </c>
      <c r="O13" s="80">
        <f>[1]Production!I8/'[1]Specific Consumption'!N13</f>
        <v>0.11490329920364049</v>
      </c>
      <c r="P13" s="81">
        <v>923</v>
      </c>
      <c r="Q13" s="80">
        <f>[1]Production!J8/'[1]Specific Consumption'!P13</f>
        <v>0.11700975081256772</v>
      </c>
      <c r="R13" s="79">
        <v>932</v>
      </c>
      <c r="S13" s="80">
        <f>[1]Production!K8/'[1]Specific Consumption'!R13</f>
        <v>0.12017167381974249</v>
      </c>
      <c r="T13" s="79">
        <v>990</v>
      </c>
      <c r="U13" s="80">
        <f>[1]Production!L8/'[1]Specific Consumption'!T13</f>
        <v>0.11515151515151516</v>
      </c>
      <c r="V13" s="81">
        <v>1019</v>
      </c>
      <c r="W13" s="80">
        <f>[1]Production!M8/'[1]Specific Consumption'!V13</f>
        <v>0.1069676153091266</v>
      </c>
      <c r="X13" s="79">
        <v>906</v>
      </c>
      <c r="Y13" s="80">
        <f>[1]Production!N8/'[1]Specific Consumption'!X13</f>
        <v>0.10816777041942605</v>
      </c>
      <c r="Z13" s="79">
        <v>897</v>
      </c>
      <c r="AA13" s="80">
        <f>[1]Production!O8/'[1]Specific Consumption'!Z13</f>
        <v>0.10479375696767002</v>
      </c>
      <c r="AB13" s="79">
        <v>794</v>
      </c>
      <c r="AC13" s="80">
        <f>[1]Production!P8/'[1]Specific Consumption'!AB13</f>
        <v>0.11335012594458438</v>
      </c>
      <c r="AD13" s="79">
        <v>872</v>
      </c>
      <c r="AE13" s="80">
        <f>[1]Production!Q8/'[1]Specific Consumption'!AD13</f>
        <v>9.862385321100918E-2</v>
      </c>
      <c r="AF13" s="82">
        <v>825</v>
      </c>
      <c r="AG13" s="80">
        <f>[1]Production!R8/'[1]Specific Consumption'!AF13</f>
        <v>0.10181818181818182</v>
      </c>
    </row>
    <row r="14" spans="1:33">
      <c r="A14" s="164" t="s">
        <v>2</v>
      </c>
      <c r="B14" s="83" t="s">
        <v>11</v>
      </c>
      <c r="C14" s="83" t="s">
        <v>130</v>
      </c>
      <c r="D14" s="42">
        <v>752</v>
      </c>
      <c r="E14" s="84">
        <f>'[1]Utility Consumption'!D12/'[1]Specific Consumption'!D14</f>
        <v>0.27792553191489361</v>
      </c>
      <c r="F14" s="42">
        <v>684</v>
      </c>
      <c r="G14" s="84">
        <f>'[1]Utility Consumption'!E12/'[1]Specific Consumption'!F14</f>
        <v>0.28508771929824561</v>
      </c>
      <c r="H14" s="42">
        <v>694</v>
      </c>
      <c r="I14" s="84">
        <f>'[1]Utility Consumption'!F12/'[1]Specific Consumption'!H14</f>
        <v>0.27089337175792505</v>
      </c>
      <c r="J14" s="42">
        <v>711</v>
      </c>
      <c r="K14" s="84">
        <f>'[1]Utility Consumption'!G12/'[1]Specific Consumption'!J14</f>
        <v>0.27426160337552741</v>
      </c>
      <c r="L14" s="85">
        <v>796</v>
      </c>
      <c r="M14" s="84">
        <f>'[1]Utility Consumption'!H12/'[1]Specific Consumption'!L14</f>
        <v>0.2399497487437186</v>
      </c>
      <c r="N14" s="85">
        <v>1006</v>
      </c>
      <c r="O14" s="84">
        <f>'[1]Utility Consumption'!I12/'[1]Specific Consumption'!N14</f>
        <v>0.19483101391650098</v>
      </c>
      <c r="P14" s="85">
        <v>908</v>
      </c>
      <c r="Q14" s="84">
        <f>'[1]Utility Consumption'!J12/'[1]Specific Consumption'!P14</f>
        <v>0.22687224669603523</v>
      </c>
      <c r="R14" s="46">
        <v>951</v>
      </c>
      <c r="S14" s="84">
        <f>'[1]Utility Consumption'!K12/'[1]Specific Consumption'!R14</f>
        <v>0.22082018927444794</v>
      </c>
      <c r="T14" s="46">
        <v>954</v>
      </c>
      <c r="U14" s="84">
        <f>'[1]Utility Consumption'!L12/'[1]Specific Consumption'!T14</f>
        <v>0.22641509433962265</v>
      </c>
      <c r="V14" s="42">
        <v>702</v>
      </c>
      <c r="W14" s="84">
        <f>'[1]Utility Consumption'!M12/'[1]Specific Consumption'!V14</f>
        <v>0.27207977207977208</v>
      </c>
      <c r="X14" s="42">
        <v>124</v>
      </c>
      <c r="Y14" s="84">
        <f>'[1]Utility Consumption'!N12/'[1]Specific Consumption'!X14</f>
        <v>0.83064516129032262</v>
      </c>
      <c r="Z14" s="42">
        <v>769</v>
      </c>
      <c r="AA14" s="84">
        <f>'[1]Utility Consumption'!O12/'[1]Specific Consumption'!Z14</f>
        <v>0.26657997399219768</v>
      </c>
      <c r="AB14" s="42">
        <v>962</v>
      </c>
      <c r="AC14" s="84">
        <f>'[1]Utility Consumption'!P12/'[1]Specific Consumption'!AB14</f>
        <v>0.25675675675675674</v>
      </c>
      <c r="AD14" s="42">
        <v>986</v>
      </c>
      <c r="AE14" s="84">
        <f>'[1]Utility Consumption'!Q12/'[1]Specific Consumption'!AD14</f>
        <v>9.5334685598377281E-2</v>
      </c>
      <c r="AF14" s="85">
        <v>1006</v>
      </c>
      <c r="AG14" s="84">
        <f>'[1]Utility Consumption'!R12/'[1]Specific Consumption'!AF14</f>
        <v>0.25049701789264411</v>
      </c>
    </row>
    <row r="15" spans="1:33">
      <c r="A15" s="164" t="s">
        <v>2</v>
      </c>
      <c r="B15" s="83" t="s">
        <v>7</v>
      </c>
      <c r="C15" s="83" t="s">
        <v>125</v>
      </c>
      <c r="D15" s="42">
        <v>752</v>
      </c>
      <c r="E15" s="84">
        <f>'[1]Utility Consumption'!D13/'[1]Specific Consumption'!D15</f>
        <v>0.1276595744680851</v>
      </c>
      <c r="F15" s="42">
        <v>684</v>
      </c>
      <c r="G15" s="84">
        <f>'[1]Utility Consumption'!E13/'[1]Specific Consumption'!F15</f>
        <v>0.13596491228070176</v>
      </c>
      <c r="H15" s="42">
        <v>694</v>
      </c>
      <c r="I15" s="84">
        <f>'[1]Utility Consumption'!F13/'[1]Specific Consumption'!H15</f>
        <v>0.13544668587896252</v>
      </c>
      <c r="J15" s="42">
        <v>711</v>
      </c>
      <c r="K15" s="84">
        <f>'[1]Utility Consumption'!G13/'[1]Specific Consumption'!J15</f>
        <v>0.14486638537271448</v>
      </c>
      <c r="L15" s="85">
        <v>796</v>
      </c>
      <c r="M15" s="84">
        <f>'[1]Utility Consumption'!H13/'[1]Specific Consumption'!L15</f>
        <v>0.1306532663316583</v>
      </c>
      <c r="N15" s="85">
        <v>1006</v>
      </c>
      <c r="O15" s="84">
        <f>'[1]Utility Consumption'!I13/'[1]Specific Consumption'!N15</f>
        <v>0.10834990059642147</v>
      </c>
      <c r="P15" s="85">
        <v>908</v>
      </c>
      <c r="Q15" s="84">
        <f>'[1]Utility Consumption'!J13/'[1]Specific Consumption'!P15</f>
        <v>0.11784140969162996</v>
      </c>
      <c r="R15" s="46">
        <v>951</v>
      </c>
      <c r="S15" s="84">
        <f>'[1]Utility Consumption'!K13/'[1]Specific Consumption'!R15</f>
        <v>0.14195583596214512</v>
      </c>
      <c r="T15" s="46">
        <v>954</v>
      </c>
      <c r="U15" s="84">
        <f>'[1]Utility Consumption'!L13/'[1]Specific Consumption'!T15</f>
        <v>0.1331236897274633</v>
      </c>
      <c r="V15" s="42">
        <v>702</v>
      </c>
      <c r="W15" s="84">
        <f>'[1]Utility Consumption'!M13/'[1]Specific Consumption'!V15</f>
        <v>0.20940170940170941</v>
      </c>
      <c r="X15" s="42">
        <v>124</v>
      </c>
      <c r="Y15" s="84">
        <f>'[1]Utility Consumption'!N13/'[1]Specific Consumption'!X15</f>
        <v>1.0806451612903225</v>
      </c>
      <c r="Z15" s="42">
        <v>769</v>
      </c>
      <c r="AA15" s="84">
        <f>'[1]Utility Consumption'!O13/'[1]Specific Consumption'!Z15</f>
        <v>0.14304291287386217</v>
      </c>
      <c r="AB15" s="42">
        <v>962</v>
      </c>
      <c r="AC15" s="84">
        <f>'[1]Utility Consumption'!P13/'[1]Specific Consumption'!AB15</f>
        <v>0.11018711018711019</v>
      </c>
      <c r="AD15" s="42">
        <v>986</v>
      </c>
      <c r="AE15" s="84">
        <f>'[1]Utility Consumption'!Q13/'[1]Specific Consumption'!AD15</f>
        <v>0.24604462474645031</v>
      </c>
      <c r="AF15" s="85">
        <v>1006</v>
      </c>
      <c r="AG15" s="84">
        <f>'[1]Utility Consumption'!R13/'[1]Specific Consumption'!AF15</f>
        <v>0.11033797216699801</v>
      </c>
    </row>
    <row r="16" spans="1:33">
      <c r="A16" s="164" t="s">
        <v>2</v>
      </c>
      <c r="B16" s="83" t="s">
        <v>6</v>
      </c>
      <c r="C16" s="83" t="s">
        <v>124</v>
      </c>
      <c r="D16" s="42">
        <v>752</v>
      </c>
      <c r="E16" s="84">
        <f>'[1]Utility Consumption'!D14/'[1]Specific Consumption'!D16</f>
        <v>0.33297872340425533</v>
      </c>
      <c r="F16" s="42">
        <v>684</v>
      </c>
      <c r="G16" s="84">
        <f>'[1]Utility Consumption'!E14/'[1]Specific Consumption'!F16</f>
        <v>0.3580409356725146</v>
      </c>
      <c r="H16" s="42">
        <v>694</v>
      </c>
      <c r="I16" s="84">
        <f>'[1]Utility Consumption'!F14/'[1]Specific Consumption'!H16</f>
        <v>0.34956772334293945</v>
      </c>
      <c r="J16" s="42">
        <v>711</v>
      </c>
      <c r="K16" s="84">
        <f>'[1]Utility Consumption'!G14/'[1]Specific Consumption'!J16</f>
        <v>0.34022503516174402</v>
      </c>
      <c r="L16" s="85">
        <v>796</v>
      </c>
      <c r="M16" s="84">
        <f>'[1]Utility Consumption'!H14/'[1]Specific Consumption'!L16</f>
        <v>0.31620603015075377</v>
      </c>
      <c r="N16" s="85">
        <v>1006</v>
      </c>
      <c r="O16" s="84">
        <f>'[1]Utility Consumption'!I14/'[1]Specific Consumption'!N16</f>
        <v>0.25288270377733602</v>
      </c>
      <c r="P16" s="85">
        <v>908</v>
      </c>
      <c r="Q16" s="84">
        <f>'[1]Utility Consumption'!J14/'[1]Specific Consumption'!P16</f>
        <v>0.28259911894273132</v>
      </c>
      <c r="R16" s="46">
        <v>951</v>
      </c>
      <c r="S16" s="84">
        <f>'[1]Utility Consumption'!K14/'[1]Specific Consumption'!R16</f>
        <v>0.26635120925341749</v>
      </c>
      <c r="T16" s="46">
        <v>954</v>
      </c>
      <c r="U16" s="84">
        <f>'[1]Utility Consumption'!L14/'[1]Specific Consumption'!T16</f>
        <v>0.26656184486373169</v>
      </c>
      <c r="V16" s="42">
        <v>702</v>
      </c>
      <c r="W16" s="84">
        <f>'[1]Utility Consumption'!M14/'[1]Specific Consumption'!V16</f>
        <v>0.4327635327635328</v>
      </c>
      <c r="X16" s="42">
        <v>124</v>
      </c>
      <c r="Y16" s="84">
        <f>'[1]Utility Consumption'!N14/'[1]Specific Consumption'!X16</f>
        <v>2.7290322580645161</v>
      </c>
      <c r="Z16" s="42">
        <v>769</v>
      </c>
      <c r="AA16" s="84">
        <f>'[1]Utility Consumption'!O14/'[1]Specific Consumption'!Z16</f>
        <v>0.38465539661898573</v>
      </c>
      <c r="AB16" s="42">
        <v>962</v>
      </c>
      <c r="AC16" s="84">
        <f>'[1]Utility Consumption'!P14/'[1]Specific Consumption'!AB16</f>
        <v>0.25644490644490642</v>
      </c>
      <c r="AD16" s="42">
        <v>986</v>
      </c>
      <c r="AE16" s="84">
        <f>'[1]Utility Consumption'!Q14/'[1]Specific Consumption'!AD16</f>
        <v>0.14753042596348884</v>
      </c>
      <c r="AF16" s="85">
        <v>1006</v>
      </c>
      <c r="AG16" s="84">
        <f>'[1]Utility Consumption'!R14/'[1]Specific Consumption'!AF16</f>
        <v>0.24950298210735586</v>
      </c>
    </row>
    <row r="17" spans="1:33">
      <c r="A17" s="164" t="s">
        <v>2</v>
      </c>
      <c r="B17" s="83" t="s">
        <v>4</v>
      </c>
      <c r="C17" s="83" t="s">
        <v>123</v>
      </c>
      <c r="D17" s="42">
        <v>752</v>
      </c>
      <c r="E17" s="84">
        <f>'[1]Utility Consumption'!D15/'[1]Specific Consumption'!D17</f>
        <v>0.20530585106382976</v>
      </c>
      <c r="F17" s="42">
        <v>684</v>
      </c>
      <c r="G17" s="84">
        <f>'[1]Utility Consumption'!E15/'[1]Specific Consumption'!F17</f>
        <v>0.21420321637426898</v>
      </c>
      <c r="H17" s="42">
        <v>694</v>
      </c>
      <c r="I17" s="84">
        <f>'[1]Utility Consumption'!F15/'[1]Specific Consumption'!H17</f>
        <v>0.20960374639769452</v>
      </c>
      <c r="J17" s="42">
        <v>711</v>
      </c>
      <c r="K17" s="84">
        <f>'[1]Utility Consumption'!G15/'[1]Specific Consumption'!J17</f>
        <v>0.20470886075949368</v>
      </c>
      <c r="L17" s="85">
        <v>796</v>
      </c>
      <c r="M17" s="84">
        <f>'[1]Utility Consumption'!H15/'[1]Specific Consumption'!L17</f>
        <v>0.18571231155778894</v>
      </c>
      <c r="N17" s="85">
        <v>1006</v>
      </c>
      <c r="O17" s="84">
        <f>'[1]Utility Consumption'!I15/'[1]Specific Consumption'!N17</f>
        <v>0.14518787276341949</v>
      </c>
      <c r="P17" s="85">
        <v>908</v>
      </c>
      <c r="Q17" s="84">
        <f>'[1]Utility Consumption'!J15/'[1]Specific Consumption'!P17</f>
        <v>0.16227643171806169</v>
      </c>
      <c r="R17" s="46">
        <v>951</v>
      </c>
      <c r="S17" s="84">
        <f>'[1]Utility Consumption'!K15/'[1]Specific Consumption'!R17</f>
        <v>0.16151840168243956</v>
      </c>
      <c r="T17" s="46">
        <v>954</v>
      </c>
      <c r="U17" s="84">
        <f>'[1]Utility Consumption'!L15/'[1]Specific Consumption'!T17</f>
        <v>0.17334800838574424</v>
      </c>
      <c r="V17" s="42">
        <v>702</v>
      </c>
      <c r="W17" s="84">
        <f>'[1]Utility Consumption'!M15/'[1]Specific Consumption'!V17</f>
        <v>0.23925213675213677</v>
      </c>
      <c r="X17" s="42">
        <v>124</v>
      </c>
      <c r="Y17" s="84">
        <f>'[1]Utility Consumption'!N15/'[1]Specific Consumption'!X17</f>
        <v>1.3435241935483873</v>
      </c>
      <c r="Z17" s="42">
        <v>769</v>
      </c>
      <c r="AA17" s="84">
        <f>'[1]Utility Consumption'!O15/'[1]Specific Consumption'!Z17</f>
        <v>0.22433550065019506</v>
      </c>
      <c r="AB17" s="42">
        <v>962</v>
      </c>
      <c r="AC17" s="84">
        <f>'[1]Utility Consumption'!P15/'[1]Specific Consumption'!AB17</f>
        <v>0.18357172557172557</v>
      </c>
      <c r="AD17" s="42">
        <v>986</v>
      </c>
      <c r="AE17" s="84">
        <f>'[1]Utility Consumption'!Q15/'[1]Specific Consumption'!AD17</f>
        <v>2.8384381338742392E-2</v>
      </c>
      <c r="AF17" s="85">
        <v>1006</v>
      </c>
      <c r="AG17" s="84">
        <f>'[1]Utility Consumption'!R15/'[1]Specific Consumption'!AF17</f>
        <v>0.17366998011928428</v>
      </c>
    </row>
    <row r="18" spans="1:33">
      <c r="A18" s="164" t="s">
        <v>2</v>
      </c>
      <c r="B18" s="83" t="s">
        <v>9</v>
      </c>
      <c r="C18" s="83" t="s">
        <v>127</v>
      </c>
      <c r="D18" s="42">
        <v>752</v>
      </c>
      <c r="E18" s="84">
        <f>'[1]Utility Consumption'!D16/'[1]Specific Consumption'!D18</f>
        <v>3.6954787234042552E-2</v>
      </c>
      <c r="F18" s="42">
        <v>684</v>
      </c>
      <c r="G18" s="84">
        <f>'[1]Utility Consumption'!E16/'[1]Specific Consumption'!F18</f>
        <v>4.1369883040935675E-2</v>
      </c>
      <c r="H18" s="42">
        <v>694</v>
      </c>
      <c r="I18" s="84">
        <f>'[1]Utility Consumption'!F16/'[1]Specific Consumption'!H18</f>
        <v>4.0327089337175791E-2</v>
      </c>
      <c r="J18" s="42">
        <v>711</v>
      </c>
      <c r="K18" s="84">
        <f>'[1]Utility Consumption'!G16/'[1]Specific Consumption'!J18</f>
        <v>3.9144866385372713E-2</v>
      </c>
      <c r="L18" s="85">
        <v>796</v>
      </c>
      <c r="M18" s="84">
        <f>'[1]Utility Consumption'!H16/'[1]Specific Consumption'!L18</f>
        <v>3.5482412060301505E-2</v>
      </c>
      <c r="N18" s="85">
        <v>1006</v>
      </c>
      <c r="O18" s="84">
        <f>'[1]Utility Consumption'!I16/'[1]Specific Consumption'!N18</f>
        <v>2.8175944333996023E-2</v>
      </c>
      <c r="P18" s="85">
        <v>908</v>
      </c>
      <c r="Q18" s="84">
        <f>'[1]Utility Consumption'!J16/'[1]Specific Consumption'!P18</f>
        <v>3.1125550660792953E-2</v>
      </c>
      <c r="R18" s="46">
        <v>951</v>
      </c>
      <c r="S18" s="84">
        <f>'[1]Utility Consumption'!K16/'[1]Specific Consumption'!R18</f>
        <v>2.997160883280757E-2</v>
      </c>
      <c r="T18" s="46">
        <v>954</v>
      </c>
      <c r="U18" s="84">
        <f>'[1]Utility Consumption'!L16/'[1]Specific Consumption'!T18</f>
        <v>2.9527253668763104E-2</v>
      </c>
      <c r="V18" s="42">
        <v>702</v>
      </c>
      <c r="W18" s="84">
        <f>'[1]Utility Consumption'!M16/'[1]Specific Consumption'!V18</f>
        <v>4.0643874643874645E-2</v>
      </c>
      <c r="X18" s="42">
        <v>124</v>
      </c>
      <c r="Y18" s="84">
        <f>'[1]Utility Consumption'!N16/'[1]Specific Consumption'!X18</f>
        <v>0.22450806451612901</v>
      </c>
      <c r="Z18" s="42">
        <v>769</v>
      </c>
      <c r="AA18" s="84">
        <f>'[1]Utility Consumption'!O16/'[1]Specific Consumption'!Z18</f>
        <v>3.5763328998699606E-2</v>
      </c>
      <c r="AB18" s="42">
        <v>962</v>
      </c>
      <c r="AC18" s="84">
        <f>'[1]Utility Consumption'!P16/'[1]Specific Consumption'!AB18</f>
        <v>2.8981288981288982E-2</v>
      </c>
      <c r="AD18" s="42">
        <v>986</v>
      </c>
      <c r="AE18" s="84">
        <f>'[1]Utility Consumption'!Q16/'[1]Specific Consumption'!AD18</f>
        <v>4.1336713995943207E-2</v>
      </c>
      <c r="AF18" s="85">
        <v>1006</v>
      </c>
      <c r="AG18" s="84">
        <f>'[1]Utility Consumption'!R16/'[1]Specific Consumption'!AF18</f>
        <v>2.7399602385685885E-2</v>
      </c>
    </row>
    <row r="19" spans="1:33">
      <c r="A19" s="164" t="s">
        <v>2</v>
      </c>
      <c r="B19" s="83" t="s">
        <v>10</v>
      </c>
      <c r="C19" s="83" t="s">
        <v>127</v>
      </c>
      <c r="D19" s="42">
        <v>752</v>
      </c>
      <c r="E19" s="84">
        <f>'[1]Utility Consumption'!D17/'[1]Specific Consumption'!D19</f>
        <v>5.558510638297872E-2</v>
      </c>
      <c r="F19" s="42">
        <v>684</v>
      </c>
      <c r="G19" s="84">
        <f>'[1]Utility Consumption'!E17/'[1]Specific Consumption'!F19</f>
        <v>5.9720760233918126E-2</v>
      </c>
      <c r="H19" s="42">
        <v>694</v>
      </c>
      <c r="I19" s="84">
        <f>'[1]Utility Consumption'!F17/'[1]Specific Consumption'!H19</f>
        <v>5.872910662824208E-2</v>
      </c>
      <c r="J19" s="42">
        <v>711</v>
      </c>
      <c r="K19" s="84">
        <f>'[1]Utility Consumption'!G17/'[1]Specific Consumption'!J19</f>
        <v>5.7857946554149088E-2</v>
      </c>
      <c r="L19" s="85">
        <v>796</v>
      </c>
      <c r="M19" s="84">
        <f>'[1]Utility Consumption'!H17/'[1]Specific Consumption'!L19</f>
        <v>5.1757537688442205E-2</v>
      </c>
      <c r="N19" s="85">
        <v>1006</v>
      </c>
      <c r="O19" s="84">
        <f>'[1]Utility Consumption'!I17/'[1]Specific Consumption'!N19</f>
        <v>4.0488071570576545E-2</v>
      </c>
      <c r="P19" s="85">
        <v>908</v>
      </c>
      <c r="Q19" s="84">
        <f>'[1]Utility Consumption'!J17/'[1]Specific Consumption'!P19</f>
        <v>4.5164096916299558E-2</v>
      </c>
      <c r="R19" s="46">
        <v>951</v>
      </c>
      <c r="S19" s="84">
        <f>'[1]Utility Consumption'!K17/'[1]Specific Consumption'!R19</f>
        <v>3.7377497371188222E-2</v>
      </c>
      <c r="T19" s="46">
        <v>954</v>
      </c>
      <c r="U19" s="84">
        <f>'[1]Utility Consumption'!L17/'[1]Specific Consumption'!T19</f>
        <v>4.2138364779874218E-2</v>
      </c>
      <c r="V19" s="42">
        <v>702</v>
      </c>
      <c r="W19" s="84">
        <f>'[1]Utility Consumption'!M17/'[1]Specific Consumption'!V19</f>
        <v>4.7396011396011392E-2</v>
      </c>
      <c r="X19" s="42">
        <v>124</v>
      </c>
      <c r="Y19" s="84">
        <f>'[1]Utility Consumption'!N17/'[1]Specific Consumption'!X19</f>
        <v>0.25967741935483873</v>
      </c>
      <c r="Z19" s="42">
        <v>769</v>
      </c>
      <c r="AA19" s="84">
        <f>'[1]Utility Consumption'!O17/'[1]Specific Consumption'!Z19</f>
        <v>4.2262678803641089E-2</v>
      </c>
      <c r="AB19" s="42">
        <v>962</v>
      </c>
      <c r="AC19" s="84">
        <f>'[1]Utility Consumption'!P17/'[1]Specific Consumption'!AB19</f>
        <v>4.0020790020790023E-2</v>
      </c>
      <c r="AD19" s="42">
        <v>986</v>
      </c>
      <c r="AE19" s="84">
        <f>'[1]Utility Consumption'!Q17/'[1]Specific Consumption'!AD19</f>
        <v>0.10578093306288032</v>
      </c>
      <c r="AF19" s="85">
        <v>1006</v>
      </c>
      <c r="AG19" s="84">
        <f>'[1]Utility Consumption'!R17/'[1]Specific Consumption'!AF19</f>
        <v>4.239065606361829E-2</v>
      </c>
    </row>
    <row r="20" spans="1:33">
      <c r="A20" s="164" t="s">
        <v>2</v>
      </c>
      <c r="B20" s="83" t="s">
        <v>12</v>
      </c>
      <c r="C20" s="83" t="s">
        <v>124</v>
      </c>
      <c r="D20" s="42">
        <v>752</v>
      </c>
      <c r="E20" s="84">
        <f>'[1]Utility Consumption'!D18/'[1]Specific Consumption'!D20</f>
        <v>0.13404255319148936</v>
      </c>
      <c r="F20" s="42">
        <v>684</v>
      </c>
      <c r="G20" s="84">
        <f>'[1]Utility Consumption'!E18/'[1]Specific Consumption'!F20</f>
        <v>0.15453216374269008</v>
      </c>
      <c r="H20" s="42">
        <v>694</v>
      </c>
      <c r="I20" s="84">
        <f>'[1]Utility Consumption'!F18/'[1]Specific Consumption'!H20</f>
        <v>0.15028818443804035</v>
      </c>
      <c r="J20" s="42">
        <v>711</v>
      </c>
      <c r="K20" s="84">
        <f>'[1]Utility Consumption'!G18/'[1]Specific Consumption'!J20</f>
        <v>0.1438818565400844</v>
      </c>
      <c r="L20" s="85">
        <v>796</v>
      </c>
      <c r="M20" s="84">
        <f>'[1]Utility Consumption'!H18/'[1]Specific Consumption'!L20</f>
        <v>0.13693467336683418</v>
      </c>
      <c r="N20" s="85">
        <v>1006</v>
      </c>
      <c r="O20" s="84">
        <f>'[1]Utility Consumption'!I18/'[1]Specific Consumption'!N20</f>
        <v>0.10934393638170974</v>
      </c>
      <c r="P20" s="85">
        <v>908</v>
      </c>
      <c r="Q20" s="84">
        <f>'[1]Utility Consumption'!J18/'[1]Specific Consumption'!P20</f>
        <v>0.12048458149779737</v>
      </c>
      <c r="R20" s="46">
        <v>951</v>
      </c>
      <c r="S20" s="84">
        <f>'[1]Utility Consumption'!K18/'[1]Specific Consumption'!R20</f>
        <v>0.1156677181913775</v>
      </c>
      <c r="T20" s="46">
        <v>954</v>
      </c>
      <c r="U20" s="84">
        <f>'[1]Utility Consumption'!L18/'[1]Specific Consumption'!T20</f>
        <v>0.11781970649895179</v>
      </c>
      <c r="V20" s="42">
        <v>702</v>
      </c>
      <c r="W20" s="84">
        <f>'[1]Utility Consumption'!M18/'[1]Specific Consumption'!V20</f>
        <v>0.18760683760683758</v>
      </c>
      <c r="X20" s="42">
        <v>124</v>
      </c>
      <c r="Y20" s="84">
        <f>'[1]Utility Consumption'!N18/'[1]Specific Consumption'!X20</f>
        <v>1.3403225806451613</v>
      </c>
      <c r="Z20" s="42">
        <v>769</v>
      </c>
      <c r="AA20" s="84">
        <f>'[1]Utility Consumption'!O18/'[1]Specific Consumption'!Z20</f>
        <v>0.14798439531859559</v>
      </c>
      <c r="AB20" s="42">
        <v>962</v>
      </c>
      <c r="AC20" s="84">
        <f>'[1]Utility Consumption'!P18/'[1]Specific Consumption'!AB20</f>
        <v>0.11808731808731808</v>
      </c>
      <c r="AD20" s="42">
        <v>986</v>
      </c>
      <c r="AE20" s="84">
        <f>'[1]Utility Consumption'!Q18/'[1]Specific Consumption'!AD20</f>
        <v>1.156186612576065E-4</v>
      </c>
      <c r="AF20" s="85">
        <v>1006</v>
      </c>
      <c r="AG20" s="84">
        <f>'[1]Utility Consumption'!R18/'[1]Specific Consumption'!AF20</f>
        <v>0.11530815109343936</v>
      </c>
    </row>
    <row r="21" spans="1:33">
      <c r="A21" s="164" t="s">
        <v>2</v>
      </c>
      <c r="B21" s="83" t="s">
        <v>76</v>
      </c>
      <c r="C21" s="83" t="s">
        <v>126</v>
      </c>
      <c r="D21" s="42">
        <v>752</v>
      </c>
      <c r="E21" s="84">
        <f>'[1]Utility Consumption'!D19/'[1]Specific Consumption'!D21</f>
        <v>4.5478723404255325E-4</v>
      </c>
      <c r="F21" s="42">
        <v>684</v>
      </c>
      <c r="G21" s="84">
        <f>'[1]Utility Consumption'!E19/'[1]Specific Consumption'!F21</f>
        <v>1.2192982456140351E-4</v>
      </c>
      <c r="H21" s="42">
        <v>694</v>
      </c>
      <c r="I21" s="84">
        <f>'[1]Utility Consumption'!F19/'[1]Specific Consumption'!H21</f>
        <v>1.6426512968299712E-4</v>
      </c>
      <c r="J21" s="42">
        <v>711</v>
      </c>
      <c r="K21" s="84">
        <f>'[1]Utility Consumption'!G19/'[1]Specific Consumption'!J21</f>
        <v>9.7609001406469753E-4</v>
      </c>
      <c r="L21" s="85">
        <v>796</v>
      </c>
      <c r="M21" s="84">
        <f>'[1]Utility Consumption'!H19/'[1]Specific Consumption'!L21</f>
        <v>1.9597989949748744E-4</v>
      </c>
      <c r="N21" s="85">
        <v>1006</v>
      </c>
      <c r="O21" s="84">
        <f>'[1]Utility Consumption'!I19/'[1]Specific Consumption'!N21</f>
        <v>6.9085487077534785E-4</v>
      </c>
      <c r="P21" s="85">
        <v>908</v>
      </c>
      <c r="Q21" s="84">
        <f>'[1]Utility Consumption'!J19/'[1]Specific Consumption'!P21</f>
        <v>8.9262114537444932E-3</v>
      </c>
      <c r="R21" s="46">
        <v>951</v>
      </c>
      <c r="S21" s="84">
        <f>'[1]Utility Consumption'!K19/'[1]Specific Consumption'!R21</f>
        <v>1.3280757097791796E-3</v>
      </c>
      <c r="T21" s="46">
        <v>954</v>
      </c>
      <c r="U21" s="84">
        <f>'[1]Utility Consumption'!L19/'[1]Specific Consumption'!T21</f>
        <v>2.2589098532494758E-3</v>
      </c>
      <c r="V21" s="42">
        <v>702</v>
      </c>
      <c r="W21" s="84">
        <f>'[1]Utility Consumption'!M19/'[1]Specific Consumption'!V21</f>
        <v>3.44017094017094E-3</v>
      </c>
      <c r="X21" s="42">
        <v>124</v>
      </c>
      <c r="Y21" s="84">
        <f>'[1]Utility Consumption'!N19/'[1]Specific Consumption'!X21</f>
        <v>1.6903225806451615E-2</v>
      </c>
      <c r="Z21" s="42">
        <v>769</v>
      </c>
      <c r="AA21" s="84">
        <f>'[1]Utility Consumption'!O19/'[1]Specific Consumption'!Z21</f>
        <v>3.282184655396619E-3</v>
      </c>
      <c r="AB21" s="42">
        <v>962</v>
      </c>
      <c r="AC21" s="84">
        <f>'[1]Utility Consumption'!P19/'[1]Specific Consumption'!AB21</f>
        <v>3.990644490644491E-3</v>
      </c>
      <c r="AD21" s="42">
        <v>986</v>
      </c>
      <c r="AE21" s="84">
        <f>'[1]Utility Consumption'!Q19/'[1]Specific Consumption'!AD21</f>
        <v>1.5720081135902637E-2</v>
      </c>
      <c r="AF21" s="85">
        <v>1006</v>
      </c>
      <c r="AG21" s="84">
        <f>'[1]Utility Consumption'!R19/'[1]Specific Consumption'!AF21</f>
        <v>7.1123260437375747E-3</v>
      </c>
    </row>
    <row r="22" spans="1:33">
      <c r="A22" s="164" t="s">
        <v>2</v>
      </c>
      <c r="B22" s="83" t="s">
        <v>13</v>
      </c>
      <c r="C22" s="83" t="s">
        <v>125</v>
      </c>
      <c r="D22" s="42">
        <v>752</v>
      </c>
      <c r="E22" s="84">
        <f>'[1]Utility Consumption'!D20/'[1]Specific Consumption'!D22</f>
        <v>2.0611702127659573E-2</v>
      </c>
      <c r="F22" s="42">
        <v>684</v>
      </c>
      <c r="G22" s="84">
        <f>'[1]Utility Consumption'!E20/'[1]Specific Consumption'!F22</f>
        <v>2.2514619883040935E-2</v>
      </c>
      <c r="H22" s="42">
        <v>694</v>
      </c>
      <c r="I22" s="84">
        <f>'[1]Utility Consumption'!F20/'[1]Specific Consumption'!H22</f>
        <v>2.2334293948126801E-2</v>
      </c>
      <c r="J22" s="42">
        <v>711</v>
      </c>
      <c r="K22" s="84">
        <f>'[1]Utility Consumption'!G20/'[1]Specific Consumption'!J22</f>
        <v>2.0534458509142053E-2</v>
      </c>
      <c r="L22" s="85">
        <v>796</v>
      </c>
      <c r="M22" s="84">
        <f>'[1]Utility Consumption'!H20/'[1]Specific Consumption'!L22</f>
        <v>1.7587939698492462E-2</v>
      </c>
      <c r="N22" s="85">
        <v>1006</v>
      </c>
      <c r="O22" s="84">
        <f>'[1]Utility Consumption'!I20/'[1]Specific Consumption'!N22</f>
        <v>1.2922465208747515E-2</v>
      </c>
      <c r="P22" s="85">
        <v>908</v>
      </c>
      <c r="Q22" s="84">
        <f>'[1]Utility Consumption'!J20/'[1]Specific Consumption'!P22</f>
        <v>1.3766519823788546E-2</v>
      </c>
      <c r="R22" s="46">
        <v>951</v>
      </c>
      <c r="S22" s="84">
        <f>'[1]Utility Consumption'!K20/'[1]Specific Consumption'!R22</f>
        <v>1.2933753943217666E-2</v>
      </c>
      <c r="T22" s="46">
        <v>954</v>
      </c>
      <c r="U22" s="84">
        <f>'[1]Utility Consumption'!L20/'[1]Specific Consumption'!T22</f>
        <v>1.2473794549266247E-2</v>
      </c>
      <c r="V22" s="42">
        <v>702</v>
      </c>
      <c r="W22" s="84">
        <f>'[1]Utility Consumption'!M20/'[1]Specific Consumption'!V22</f>
        <v>1.6666666666666666E-2</v>
      </c>
      <c r="X22" s="42">
        <v>124</v>
      </c>
      <c r="Y22" s="84">
        <f>'[1]Utility Consumption'!N20/'[1]Specific Consumption'!X22</f>
        <v>9.1935483870967741E-2</v>
      </c>
      <c r="Z22" s="42">
        <v>769</v>
      </c>
      <c r="AA22" s="84">
        <f>'[1]Utility Consumption'!O20/'[1]Specific Consumption'!Z22</f>
        <v>2.0026007802340703E-2</v>
      </c>
      <c r="AB22" s="42">
        <v>962</v>
      </c>
      <c r="AC22" s="84">
        <f>'[1]Utility Consumption'!P20/'[1]Specific Consumption'!AB22</f>
        <v>1.787941787941788E-2</v>
      </c>
      <c r="AD22" s="42">
        <v>986</v>
      </c>
      <c r="AE22" s="84">
        <f>'[1]Utility Consumption'!Q20/'[1]Specific Consumption'!AD22</f>
        <v>1.795131845841785E-2</v>
      </c>
      <c r="AF22" s="85">
        <v>1006</v>
      </c>
      <c r="AG22" s="84">
        <f>'[1]Utility Consumption'!R20/'[1]Specific Consumption'!AF22</f>
        <v>1.7594433399602386E-2</v>
      </c>
    </row>
    <row r="23" spans="1:33">
      <c r="A23" s="164" t="s">
        <v>2</v>
      </c>
      <c r="B23" s="86" t="s">
        <v>15</v>
      </c>
      <c r="C23" s="83" t="s">
        <v>129</v>
      </c>
      <c r="D23" s="42">
        <v>752</v>
      </c>
      <c r="E23" s="84">
        <f>[1]Production!D23/'[1]Specific Consumption'!D23</f>
        <v>2.1356382978723401E-2</v>
      </c>
      <c r="F23" s="42">
        <v>684</v>
      </c>
      <c r="G23" s="84">
        <f>[1]Production!E23/'[1]Specific Consumption'!F23</f>
        <v>2.0380116959064328E-2</v>
      </c>
      <c r="H23" s="42">
        <v>694</v>
      </c>
      <c r="I23" s="84">
        <f>[1]Production!F23/'[1]Specific Consumption'!H23</f>
        <v>2.0345821325648415E-2</v>
      </c>
      <c r="J23" s="42">
        <v>711</v>
      </c>
      <c r="K23" s="84">
        <f>[1]Production!G23/'[1]Specific Consumption'!J23</f>
        <v>2.0492264416315048E-2</v>
      </c>
      <c r="L23" s="85">
        <v>796</v>
      </c>
      <c r="M23" s="84">
        <f>[1]Production!H23/'[1]Specific Consumption'!L23</f>
        <v>1.8304020100502513E-2</v>
      </c>
      <c r="N23" s="85">
        <v>1006</v>
      </c>
      <c r="O23" s="84">
        <f>[1]Production!I23/'[1]Specific Consumption'!N23</f>
        <v>1.566600397614314E-2</v>
      </c>
      <c r="P23" s="85">
        <v>908</v>
      </c>
      <c r="Q23" s="84">
        <f>[1]Production!J23/'[1]Specific Consumption'!P23</f>
        <v>2.1905286343612336E-2</v>
      </c>
      <c r="R23" s="46">
        <v>951</v>
      </c>
      <c r="S23" s="84">
        <f>[1]Production!K23/'[1]Specific Consumption'!R23</f>
        <v>1.4847528916929547E-2</v>
      </c>
      <c r="T23" s="46">
        <v>954</v>
      </c>
      <c r="U23" s="84">
        <f>[1]Production!L23/'[1]Specific Consumption'!T23</f>
        <v>2.2547169811320756E-2</v>
      </c>
      <c r="V23" s="42">
        <v>702</v>
      </c>
      <c r="W23" s="84">
        <f>[1]Production!M23/'[1]Specific Consumption'!V23</f>
        <v>2.3603988603988605E-2</v>
      </c>
      <c r="X23" s="42">
        <v>124</v>
      </c>
      <c r="Y23" s="84">
        <f>[1]Production!N23/'[1]Specific Consumption'!X23</f>
        <v>4.5887096774193552E-2</v>
      </c>
      <c r="Z23" s="42">
        <v>769</v>
      </c>
      <c r="AA23" s="84">
        <f>[1]Production!O23/'[1]Specific Consumption'!Z23</f>
        <v>2.6072821846553969E-2</v>
      </c>
      <c r="AB23" s="42">
        <v>962</v>
      </c>
      <c r="AC23" s="84">
        <f>[1]Production!P23/'[1]Specific Consumption'!AB23</f>
        <v>2.4937629937629935E-2</v>
      </c>
      <c r="AD23" s="42">
        <v>986</v>
      </c>
      <c r="AE23" s="84">
        <f>[1]Production!Q23/'[1]Specific Consumption'!AD23</f>
        <v>2.1713995943204868E-2</v>
      </c>
      <c r="AF23" s="85">
        <v>1006</v>
      </c>
      <c r="AG23" s="84">
        <f>[1]Production!R23/'[1]Specific Consumption'!AF23</f>
        <v>2.1133200795228631E-2</v>
      </c>
    </row>
    <row r="24" spans="1:33">
      <c r="A24" s="165" t="s">
        <v>3</v>
      </c>
      <c r="B24" s="87" t="s">
        <v>11</v>
      </c>
      <c r="C24" s="63" t="s">
        <v>128</v>
      </c>
      <c r="D24" s="55">
        <v>824.03500000000008</v>
      </c>
      <c r="E24" s="62">
        <f>'[1]Utility Consumption'!D21/D24</f>
        <v>0.30945287518127262</v>
      </c>
      <c r="F24" s="88">
        <v>824.37</v>
      </c>
      <c r="G24" s="62">
        <f>'[1]Utility Consumption'!E21/F24</f>
        <v>0.31054017006926499</v>
      </c>
      <c r="H24" s="88">
        <v>737.19999999999993</v>
      </c>
      <c r="I24" s="62">
        <f>'[1]Utility Consumption'!F21/H24</f>
        <v>0.32826912642430822</v>
      </c>
      <c r="J24" s="55">
        <v>860.65</v>
      </c>
      <c r="K24" s="62">
        <f>'[1]Utility Consumption'!G21/J24</f>
        <v>0.29512577702898973</v>
      </c>
      <c r="L24" s="88">
        <v>863.6149999999999</v>
      </c>
      <c r="M24" s="62">
        <f>'[1]Utility Consumption'!H21/L24</f>
        <v>0.29990215547437232</v>
      </c>
      <c r="N24" s="88">
        <v>891.86999999999989</v>
      </c>
      <c r="O24" s="62">
        <f>'[1]Utility Consumption'!I21/N24</f>
        <v>0.28479486920739572</v>
      </c>
      <c r="P24" s="62">
        <v>896.20000000000073</v>
      </c>
      <c r="Q24" s="62">
        <f>'[1]Utility Consumption'!J21/P24</f>
        <v>0.28676634679758961</v>
      </c>
      <c r="R24" s="55">
        <v>896.43499999999972</v>
      </c>
      <c r="S24" s="62">
        <f>'[1]Utility Consumption'!K21/R24</f>
        <v>0.29449988008054134</v>
      </c>
      <c r="T24" s="55">
        <v>905.79999999999916</v>
      </c>
      <c r="U24" s="62">
        <f>'[1]Utility Consumption'!L21/T24</f>
        <v>0.29255906381099606</v>
      </c>
      <c r="V24" s="88">
        <v>881.72500000000048</v>
      </c>
      <c r="W24" s="62">
        <f>'[1]Utility Consumption'!M21/V24</f>
        <v>0.29601066092035483</v>
      </c>
      <c r="X24" s="88">
        <v>895.23499999999967</v>
      </c>
      <c r="Y24" s="62">
        <f>'[1]Utility Consumption'!N21/X24</f>
        <v>0.29489463660379689</v>
      </c>
      <c r="Z24" s="88">
        <v>931.75500000000056</v>
      </c>
      <c r="AA24" s="62">
        <f>'[1]Utility Consumption'!O21/Z24</f>
        <v>0.28440952825581817</v>
      </c>
      <c r="AB24" s="88">
        <v>864.60000000000025</v>
      </c>
      <c r="AC24" s="62">
        <f>'[1]Utility Consumption'!P21/AB24</f>
        <v>0.29493407356002765</v>
      </c>
      <c r="AD24" s="88">
        <v>918.97000000000025</v>
      </c>
      <c r="AE24" s="62">
        <f>'[1]Utility Consumption'!Q21/AD24</f>
        <v>0.28836632316615335</v>
      </c>
      <c r="AF24" s="88">
        <v>897.47500000000002</v>
      </c>
      <c r="AG24" s="62">
        <f>'[1]Utility Consumption'!R21/AF24</f>
        <v>0.29527284882587257</v>
      </c>
    </row>
    <row r="25" spans="1:33">
      <c r="A25" s="165" t="s">
        <v>3</v>
      </c>
      <c r="B25" s="87" t="s">
        <v>14</v>
      </c>
      <c r="C25" s="63" t="s">
        <v>124</v>
      </c>
      <c r="D25" s="55">
        <v>824.03500000000008</v>
      </c>
      <c r="E25" s="62">
        <f>'[1]Utility Consumption'!D22/D25</f>
        <v>9.5869714271845236E-2</v>
      </c>
      <c r="F25" s="88">
        <v>824.37</v>
      </c>
      <c r="G25" s="62">
        <f>'[1]Utility Consumption'!E22/F25</f>
        <v>8.733942283198079E-2</v>
      </c>
      <c r="H25" s="88">
        <v>737.19999999999993</v>
      </c>
      <c r="I25" s="62">
        <f>'[1]Utility Consumption'!F22/H25</f>
        <v>0.10716223548562127</v>
      </c>
      <c r="J25" s="55">
        <v>860.65</v>
      </c>
      <c r="K25" s="62">
        <f>'[1]Utility Consumption'!G22/J25</f>
        <v>9.7600650671004471E-2</v>
      </c>
      <c r="L25" s="88">
        <v>863.6149999999999</v>
      </c>
      <c r="M25" s="62">
        <f>'[1]Utility Consumption'!H22/L25</f>
        <v>9.2633870416794536E-2</v>
      </c>
      <c r="N25" s="88">
        <v>891.86999999999989</v>
      </c>
      <c r="O25" s="62">
        <f>'[1]Utility Consumption'!I22/N25</f>
        <v>8.7456692118806564E-2</v>
      </c>
      <c r="P25" s="62">
        <v>896.20000000000073</v>
      </c>
      <c r="Q25" s="62">
        <f>'[1]Utility Consumption'!J22/P25</f>
        <v>8.8149966525329096E-2</v>
      </c>
      <c r="R25" s="55">
        <v>896.43499999999972</v>
      </c>
      <c r="S25" s="62">
        <f>'[1]Utility Consumption'!K22/R25</f>
        <v>8.8126858054404414E-2</v>
      </c>
      <c r="T25" s="55">
        <v>905.79999999999916</v>
      </c>
      <c r="U25" s="62">
        <f>'[1]Utility Consumption'!L22/T25</f>
        <v>9.0527710311327086E-2</v>
      </c>
      <c r="V25" s="88">
        <v>881.72500000000048</v>
      </c>
      <c r="W25" s="62">
        <f>'[1]Utility Consumption'!M22/V25</f>
        <v>9.2999517990303052E-2</v>
      </c>
      <c r="X25" s="88">
        <v>895.23499999999967</v>
      </c>
      <c r="Y25" s="62">
        <f>'[1]Utility Consumption'!N22/X25</f>
        <v>8.8244985953408919E-2</v>
      </c>
      <c r="Z25" s="88">
        <v>931.75500000000056</v>
      </c>
      <c r="AA25" s="62">
        <f>'[1]Utility Consumption'!O22/Z25</f>
        <v>8.9079210736727948E-2</v>
      </c>
      <c r="AB25" s="88">
        <v>864.60000000000025</v>
      </c>
      <c r="AC25" s="62">
        <f>'[1]Utility Consumption'!P22/AB25</f>
        <v>0.10409437890353918</v>
      </c>
      <c r="AD25" s="88">
        <v>918.97000000000025</v>
      </c>
      <c r="AE25" s="62">
        <f>'[1]Utility Consumption'!Q22/AD25</f>
        <v>8.9230333960847452E-2</v>
      </c>
      <c r="AF25" s="88">
        <v>897.47500000000002</v>
      </c>
      <c r="AG25" s="62">
        <f>'[1]Utility Consumption'!R22/AF25</f>
        <v>0.10362405638040056</v>
      </c>
    </row>
    <row r="26" spans="1:33">
      <c r="A26" s="165" t="s">
        <v>3</v>
      </c>
      <c r="B26" s="87" t="s">
        <v>5</v>
      </c>
      <c r="C26" s="63" t="s">
        <v>124</v>
      </c>
      <c r="D26" s="55">
        <v>824.03500000000008</v>
      </c>
      <c r="E26" s="62">
        <f>'[1]Utility Consumption'!D23/D26</f>
        <v>0.16746861480398281</v>
      </c>
      <c r="F26" s="88">
        <v>824.37</v>
      </c>
      <c r="G26" s="62">
        <f>'[1]Utility Consumption'!E23/F26</f>
        <v>0.17831798828196077</v>
      </c>
      <c r="H26" s="88">
        <v>737.19999999999993</v>
      </c>
      <c r="I26" s="62">
        <f>'[1]Utility Consumption'!F23/H26</f>
        <v>0.2007596310363538</v>
      </c>
      <c r="J26" s="55">
        <v>860.65</v>
      </c>
      <c r="K26" s="62">
        <f>'[1]Utility Consumption'!G23/J26</f>
        <v>0.16499157613431709</v>
      </c>
      <c r="L26" s="88">
        <v>863.6149999999999</v>
      </c>
      <c r="M26" s="62">
        <f>'[1]Utility Consumption'!H23/L26</f>
        <v>0.16326719660960037</v>
      </c>
      <c r="N26" s="88">
        <v>891.86999999999989</v>
      </c>
      <c r="O26" s="62">
        <f>'[1]Utility Consumption'!I23/N26</f>
        <v>0.16033726888447869</v>
      </c>
      <c r="P26" s="62">
        <v>896.20000000000073</v>
      </c>
      <c r="Q26" s="62">
        <f>'[1]Utility Consumption'!J23/P26</f>
        <v>0.15398348582905588</v>
      </c>
      <c r="R26" s="55">
        <v>896.43499999999972</v>
      </c>
      <c r="S26" s="62">
        <f>'[1]Utility Consumption'!K23/R26</f>
        <v>0.1517120594354304</v>
      </c>
      <c r="T26" s="55">
        <v>905.79999999999916</v>
      </c>
      <c r="U26" s="62">
        <f>'[1]Utility Consumption'!L23/T26</f>
        <v>0.1457275336718924</v>
      </c>
      <c r="V26" s="88">
        <v>881.72500000000048</v>
      </c>
      <c r="W26" s="62">
        <f>'[1]Utility Consumption'!M23/V26</f>
        <v>0.15424310300830749</v>
      </c>
      <c r="X26" s="88">
        <v>895.23499999999967</v>
      </c>
      <c r="Y26" s="62">
        <f>'[1]Utility Consumption'!N23/X26</f>
        <v>0.1586175696884059</v>
      </c>
      <c r="Z26" s="88">
        <v>931.75500000000056</v>
      </c>
      <c r="AA26" s="62">
        <f>'[1]Utility Consumption'!O23/Z26</f>
        <v>0.14166814237648301</v>
      </c>
      <c r="AB26" s="88">
        <v>864.60000000000025</v>
      </c>
      <c r="AC26" s="62">
        <f>'[1]Utility Consumption'!P23/AB26</f>
        <v>0.16308119361554471</v>
      </c>
      <c r="AD26" s="88">
        <v>918.97000000000025</v>
      </c>
      <c r="AE26" s="62">
        <f>'[1]Utility Consumption'!Q23/AD26</f>
        <v>0.14363907418087637</v>
      </c>
      <c r="AF26" s="88">
        <v>897.47500000000002</v>
      </c>
      <c r="AG26" s="62">
        <f>'[1]Utility Consumption'!R23/AF26</f>
        <v>0.15822167748405247</v>
      </c>
    </row>
    <row r="27" spans="1:33">
      <c r="A27" s="165" t="s">
        <v>3</v>
      </c>
      <c r="B27" s="87" t="s">
        <v>6</v>
      </c>
      <c r="C27" s="63" t="s">
        <v>124</v>
      </c>
      <c r="D27" s="55">
        <v>824.03500000000008</v>
      </c>
      <c r="E27" s="62">
        <f>'[1]Utility Consumption'!D24/D27</f>
        <v>0.27668727663266729</v>
      </c>
      <c r="F27" s="88">
        <v>824.37</v>
      </c>
      <c r="G27" s="62">
        <f>'[1]Utility Consumption'!E24/F27</f>
        <v>0.28021398158593835</v>
      </c>
      <c r="H27" s="88">
        <v>737.19999999999993</v>
      </c>
      <c r="I27" s="62">
        <f>'[1]Utility Consumption'!F24/H27</f>
        <v>0.30249593054801954</v>
      </c>
      <c r="J27" s="55">
        <v>860.65</v>
      </c>
      <c r="K27" s="62">
        <f>'[1]Utility Consumption'!G24/J27</f>
        <v>0.27304943937721488</v>
      </c>
      <c r="L27" s="88">
        <v>863.6149999999999</v>
      </c>
      <c r="M27" s="62">
        <f>'[1]Utility Consumption'!H24/L27</f>
        <v>0.26748030082849422</v>
      </c>
      <c r="N27" s="88">
        <v>891.86999999999989</v>
      </c>
      <c r="O27" s="62">
        <f>'[1]Utility Consumption'!I24/N27</f>
        <v>0.25676387814367568</v>
      </c>
      <c r="P27" s="62">
        <v>896.20000000000073</v>
      </c>
      <c r="Q27" s="62">
        <f>'[1]Utility Consumption'!J24/P27</f>
        <v>0.25998661013166685</v>
      </c>
      <c r="R27" s="55">
        <v>896.43499999999972</v>
      </c>
      <c r="S27" s="62">
        <f>'[1]Utility Consumption'!K24/R27</f>
        <v>0.26214951446563339</v>
      </c>
      <c r="T27" s="55">
        <v>905.79999999999916</v>
      </c>
      <c r="U27" s="62">
        <f>'[1]Utility Consumption'!L24/T27</f>
        <v>0.26054316626186819</v>
      </c>
      <c r="V27" s="88">
        <v>881.72500000000048</v>
      </c>
      <c r="W27" s="62">
        <f>'[1]Utility Consumption'!M24/V27</f>
        <v>0.27105957072783449</v>
      </c>
      <c r="X27" s="88">
        <v>895.23499999999967</v>
      </c>
      <c r="Y27" s="62">
        <f>'[1]Utility Consumption'!N24/X27</f>
        <v>0.26808603327617897</v>
      </c>
      <c r="Z27" s="88">
        <v>931.75500000000056</v>
      </c>
      <c r="AA27" s="62">
        <f>'[1]Utility Consumption'!O24/Z27</f>
        <v>0.25435871017595812</v>
      </c>
      <c r="AB27" s="88">
        <v>864.60000000000025</v>
      </c>
      <c r="AC27" s="62">
        <f>'[1]Utility Consumption'!P24/AB27</f>
        <v>0.27064538514920189</v>
      </c>
      <c r="AD27" s="88">
        <v>918.97000000000025</v>
      </c>
      <c r="AE27" s="62">
        <f>'[1]Utility Consumption'!Q24/AD27</f>
        <v>0.25680925383853653</v>
      </c>
      <c r="AF27" s="88">
        <v>897.47500000000002</v>
      </c>
      <c r="AG27" s="62">
        <f>'[1]Utility Consumption'!R24/AF27</f>
        <v>0.24736065071450458</v>
      </c>
    </row>
    <row r="28" spans="1:33">
      <c r="A28" s="165" t="s">
        <v>3</v>
      </c>
      <c r="B28" s="87" t="s">
        <v>7</v>
      </c>
      <c r="C28" s="63" t="s">
        <v>125</v>
      </c>
      <c r="D28" s="55">
        <v>824.03500000000008</v>
      </c>
      <c r="E28" s="62">
        <f>'[1]Utility Consumption'!D25/D28</f>
        <v>0.10193741770677216</v>
      </c>
      <c r="F28" s="88">
        <v>824.37</v>
      </c>
      <c r="G28" s="62">
        <f>'[1]Utility Consumption'!E25/F28</f>
        <v>9.4617708067979187E-2</v>
      </c>
      <c r="H28" s="88">
        <v>737.19999999999993</v>
      </c>
      <c r="I28" s="62">
        <f>'[1]Utility Consumption'!F25/H28</f>
        <v>0.1003798155181769</v>
      </c>
      <c r="J28" s="55">
        <v>860.65</v>
      </c>
      <c r="K28" s="62">
        <f>'[1]Utility Consumption'!G25/J28</f>
        <v>8.2495788067158543E-2</v>
      </c>
      <c r="L28" s="88">
        <v>863.6149999999999</v>
      </c>
      <c r="M28" s="62">
        <f>'[1]Utility Consumption'!H25/L28</f>
        <v>0.10305518083868391</v>
      </c>
      <c r="N28" s="88">
        <v>891.86999999999989</v>
      </c>
      <c r="O28" s="62">
        <f>'[1]Utility Consumption'!I25/N28</f>
        <v>0.1087602453272338</v>
      </c>
      <c r="P28" s="62">
        <v>896.20000000000073</v>
      </c>
      <c r="Q28" s="62">
        <f>'[1]Utility Consumption'!J25/P28</f>
        <v>9.930819013613025E-2</v>
      </c>
      <c r="R28" s="55">
        <v>896.43499999999972</v>
      </c>
      <c r="S28" s="62">
        <f>'[1]Utility Consumption'!K25/R28</f>
        <v>9.4820037147144001E-2</v>
      </c>
      <c r="T28" s="55">
        <v>905.79999999999916</v>
      </c>
      <c r="U28" s="62">
        <f>'[1]Utility Consumption'!L25/T28</f>
        <v>9.1631706778538394E-2</v>
      </c>
      <c r="V28" s="88">
        <v>881.72500000000048</v>
      </c>
      <c r="W28" s="62">
        <f>'[1]Utility Consumption'!M25/V28</f>
        <v>0.10093850123337771</v>
      </c>
      <c r="X28" s="88">
        <v>895.23499999999967</v>
      </c>
      <c r="Y28" s="62">
        <f>'[1]Utility Consumption'!N25/X28</f>
        <v>0.1050003630331701</v>
      </c>
      <c r="Z28" s="88">
        <v>931.75500000000056</v>
      </c>
      <c r="AA28" s="62">
        <f>'[1]Utility Consumption'!O25/Z28</f>
        <v>0.15669355141641303</v>
      </c>
      <c r="AB28" s="88">
        <v>864.60000000000025</v>
      </c>
      <c r="AC28" s="62">
        <f>'[1]Utility Consumption'!P25/AB28</f>
        <v>0.16076798519546606</v>
      </c>
      <c r="AD28" s="88">
        <v>918.97000000000025</v>
      </c>
      <c r="AE28" s="62">
        <f>'[1]Utility Consumption'!Q25/AD28</f>
        <v>9.0318508765248023E-2</v>
      </c>
      <c r="AF28" s="88">
        <v>897.47500000000002</v>
      </c>
      <c r="AG28" s="62">
        <f>'[1]Utility Consumption'!R25/AF28</f>
        <v>0.17382099779938159</v>
      </c>
    </row>
    <row r="29" spans="1:33">
      <c r="A29" s="165" t="s">
        <v>3</v>
      </c>
      <c r="B29" s="87" t="s">
        <v>10</v>
      </c>
      <c r="C29" s="63" t="s">
        <v>127</v>
      </c>
      <c r="D29" s="55">
        <v>824.03500000000008</v>
      </c>
      <c r="E29" s="62">
        <f>'[1]Utility Consumption'!D26/D29</f>
        <v>2.9154101464136838E-2</v>
      </c>
      <c r="F29" s="88">
        <v>824.37</v>
      </c>
      <c r="G29" s="62">
        <f>'[1]Utility Consumption'!E26/F29</f>
        <v>2.8706770018317018E-2</v>
      </c>
      <c r="H29" s="88">
        <v>737.19999999999993</v>
      </c>
      <c r="I29" s="62">
        <f>'[1]Utility Consumption'!F26/H29</f>
        <v>3.5105805751492136E-2</v>
      </c>
      <c r="J29" s="55">
        <v>860.65</v>
      </c>
      <c r="K29" s="62">
        <f>'[1]Utility Consumption'!G26/J29</f>
        <v>3.0830186486957532E-2</v>
      </c>
      <c r="L29" s="88">
        <v>863.6149999999999</v>
      </c>
      <c r="M29" s="62">
        <f>'[1]Utility Consumption'!H26/L29</f>
        <v>2.9117141318758942E-2</v>
      </c>
      <c r="N29" s="88">
        <v>891.86999999999989</v>
      </c>
      <c r="O29" s="62">
        <f>'[1]Utility Consumption'!I26/N29</f>
        <v>2.8314664693284898E-2</v>
      </c>
      <c r="P29" s="62">
        <v>896.20000000000073</v>
      </c>
      <c r="Q29" s="62">
        <f>'[1]Utility Consumption'!J26/P29</f>
        <v>2.8619727739343875E-2</v>
      </c>
      <c r="R29" s="55">
        <v>896.43499999999972</v>
      </c>
      <c r="S29" s="62">
        <f>'[1]Utility Consumption'!K26/R29</f>
        <v>2.8566488367812511E-2</v>
      </c>
      <c r="T29" s="55">
        <v>905.79999999999916</v>
      </c>
      <c r="U29" s="62">
        <f>'[1]Utility Consumption'!L26/T29</f>
        <v>2.6767498344005321E-2</v>
      </c>
      <c r="V29" s="88">
        <v>881.72500000000048</v>
      </c>
      <c r="W29" s="62">
        <f>'[1]Utility Consumption'!M26/V29</f>
        <v>2.7355467974708655E-2</v>
      </c>
      <c r="X29" s="88">
        <v>895.23499999999967</v>
      </c>
      <c r="Y29" s="62">
        <f>'[1]Utility Consumption'!N26/X29</f>
        <v>2.6624294179740524E-2</v>
      </c>
      <c r="Z29" s="88">
        <v>931.75500000000056</v>
      </c>
      <c r="AA29" s="62">
        <f>'[1]Utility Consumption'!O26/Z29</f>
        <v>2.5522803741326833E-2</v>
      </c>
      <c r="AB29" s="88">
        <v>864.60000000000025</v>
      </c>
      <c r="AC29" s="62">
        <f>'[1]Utility Consumption'!P26/AB29</f>
        <v>3.0815405968077716E-2</v>
      </c>
      <c r="AD29" s="88">
        <v>918.97000000000025</v>
      </c>
      <c r="AE29" s="62">
        <f>'[1]Utility Consumption'!Q26/AD29</f>
        <v>2.6383886307496426E-2</v>
      </c>
      <c r="AF29" s="88">
        <v>897.47500000000002</v>
      </c>
      <c r="AG29" s="62">
        <f>'[1]Utility Consumption'!R26/AF29</f>
        <v>2.5685395136354771E-2</v>
      </c>
    </row>
    <row r="30" spans="1:33">
      <c r="A30" s="165" t="s">
        <v>3</v>
      </c>
      <c r="B30" s="87" t="s">
        <v>4</v>
      </c>
      <c r="C30" s="63" t="s">
        <v>123</v>
      </c>
      <c r="D30" s="55">
        <v>824.03500000000008</v>
      </c>
      <c r="E30" s="62">
        <f>'[1]Utility Consumption'!D27/D30</f>
        <v>0.31453761065974134</v>
      </c>
      <c r="F30" s="88">
        <v>824.37</v>
      </c>
      <c r="G30" s="62">
        <f>'[1]Utility Consumption'!E27/F30</f>
        <v>0.31566408287540787</v>
      </c>
      <c r="H30" s="88">
        <v>737.19999999999993</v>
      </c>
      <c r="I30" s="62">
        <f>'[1]Utility Consumption'!F27/H30</f>
        <v>0.35506239826370051</v>
      </c>
      <c r="J30" s="55">
        <v>860.65</v>
      </c>
      <c r="K30" s="62">
        <f>'[1]Utility Consumption'!G27/J30</f>
        <v>0.30255736943008193</v>
      </c>
      <c r="L30" s="88">
        <v>863.6149999999999</v>
      </c>
      <c r="M30" s="62">
        <f>'[1]Utility Consumption'!H27/L30</f>
        <v>0.29865970368740707</v>
      </c>
      <c r="N30" s="88">
        <v>891.86999999999989</v>
      </c>
      <c r="O30" s="62">
        <f>'[1]Utility Consumption'!I27/N30</f>
        <v>0.29008151412201333</v>
      </c>
      <c r="P30" s="62">
        <v>896.20000000000073</v>
      </c>
      <c r="Q30" s="62">
        <f>'[1]Utility Consumption'!J27/P30</f>
        <v>0.28859852711448314</v>
      </c>
      <c r="R30" s="55">
        <v>896.43499999999972</v>
      </c>
      <c r="S30" s="62">
        <f>'[1]Utility Consumption'!K27/R30</f>
        <v>0.29570688337693202</v>
      </c>
      <c r="T30" s="55">
        <v>905.79999999999916</v>
      </c>
      <c r="U30" s="62">
        <f>'[1]Utility Consumption'!L27/T30</f>
        <v>0.29245639213954538</v>
      </c>
      <c r="V30" s="88">
        <v>881.72500000000048</v>
      </c>
      <c r="W30" s="62">
        <f>'[1]Utility Consumption'!M27/V30</f>
        <v>0.29868269585188106</v>
      </c>
      <c r="X30" s="88">
        <v>895.23499999999967</v>
      </c>
      <c r="Y30" s="62">
        <f>'[1]Utility Consumption'!N27/X30</f>
        <v>0.29344250392355087</v>
      </c>
      <c r="Z30" s="88">
        <v>931.75500000000056</v>
      </c>
      <c r="AA30" s="62">
        <f>'[1]Utility Consumption'!O27/Z30</f>
        <v>0.27860972036640519</v>
      </c>
      <c r="AB30" s="88">
        <v>864.60000000000025</v>
      </c>
      <c r="AC30" s="62">
        <f>'[1]Utility Consumption'!P27/AB30</f>
        <v>0.30022900763358767</v>
      </c>
      <c r="AD30" s="88">
        <v>918.97000000000025</v>
      </c>
      <c r="AE30" s="62">
        <f>'[1]Utility Consumption'!Q27/AD30</f>
        <v>0.28826512290934408</v>
      </c>
      <c r="AF30" s="88">
        <v>897.47500000000002</v>
      </c>
      <c r="AG30" s="62">
        <f>'[1]Utility Consumption'!R27/AF30</f>
        <v>0.29004150533441042</v>
      </c>
    </row>
    <row r="31" spans="1:33">
      <c r="A31" s="165" t="s">
        <v>3</v>
      </c>
      <c r="B31" s="87" t="s">
        <v>9</v>
      </c>
      <c r="C31" s="63" t="s">
        <v>127</v>
      </c>
      <c r="D31" s="55">
        <v>824.03500000000008</v>
      </c>
      <c r="E31" s="62">
        <f>'[1]Utility Consumption'!D28/D31</f>
        <v>3.1643073413143853E-2</v>
      </c>
      <c r="F31" s="88">
        <v>824.37</v>
      </c>
      <c r="G31" s="62">
        <f>'[1]Utility Consumption'!E28/F31</f>
        <v>3.1955311328650968E-2</v>
      </c>
      <c r="H31" s="88">
        <v>737.19999999999993</v>
      </c>
      <c r="I31" s="62">
        <f>'[1]Utility Consumption'!F28/H31</f>
        <v>3.5272653282691267E-2</v>
      </c>
      <c r="J31" s="55">
        <v>860.65</v>
      </c>
      <c r="K31" s="62">
        <f>'[1]Utility Consumption'!G28/J31</f>
        <v>3.0382850171382095E-2</v>
      </c>
      <c r="L31" s="88">
        <v>863.6149999999999</v>
      </c>
      <c r="M31" s="62">
        <f>'[1]Utility Consumption'!H28/L31</f>
        <v>3.0618967942891224E-2</v>
      </c>
      <c r="N31" s="88">
        <v>891.86999999999989</v>
      </c>
      <c r="O31" s="62">
        <f>'[1]Utility Consumption'!I28/N31</f>
        <v>2.9600726563288375E-2</v>
      </c>
      <c r="P31" s="62">
        <v>896.20000000000073</v>
      </c>
      <c r="Q31" s="62">
        <f>'[1]Utility Consumption'!J28/P31</f>
        <v>2.9317116715018948E-2</v>
      </c>
      <c r="R31" s="55">
        <v>896.43499999999972</v>
      </c>
      <c r="S31" s="62">
        <f>'[1]Utility Consumption'!K28/R31</f>
        <v>2.9384171746975531E-2</v>
      </c>
      <c r="T31" s="55">
        <v>905.79999999999916</v>
      </c>
      <c r="U31" s="62">
        <f>'[1]Utility Consumption'!L28/T31</f>
        <v>2.9068226981673682E-2</v>
      </c>
      <c r="V31" s="88">
        <v>881.72500000000048</v>
      </c>
      <c r="W31" s="62">
        <f>'[1]Utility Consumption'!M28/V31</f>
        <v>3.0396098556806243E-2</v>
      </c>
      <c r="X31" s="88">
        <v>895.23499999999967</v>
      </c>
      <c r="Y31" s="62">
        <f>'[1]Utility Consumption'!N28/X31</f>
        <v>2.9664836607147853E-2</v>
      </c>
      <c r="Z31" s="88">
        <v>931.75500000000056</v>
      </c>
      <c r="AA31" s="62">
        <f>'[1]Utility Consumption'!O28/Z31</f>
        <v>2.8450612017107486E-2</v>
      </c>
      <c r="AB31" s="88">
        <v>864.60000000000025</v>
      </c>
      <c r="AC31" s="62">
        <f>'[1]Utility Consumption'!P28/AB31</f>
        <v>3.0632662502891501E-2</v>
      </c>
      <c r="AD31" s="88">
        <v>918.97000000000025</v>
      </c>
      <c r="AE31" s="62">
        <f>'[1]Utility Consumption'!Q28/AD31</f>
        <v>2.8651642599867234E-2</v>
      </c>
      <c r="AF31" s="88">
        <v>897.47500000000002</v>
      </c>
      <c r="AG31" s="62">
        <f>'[1]Utility Consumption'!R28/AF31</f>
        <v>2.9143987297696312E-2</v>
      </c>
    </row>
    <row r="32" spans="1:33">
      <c r="A32" s="165" t="s">
        <v>3</v>
      </c>
      <c r="B32" s="89" t="s">
        <v>8</v>
      </c>
      <c r="C32" s="63" t="s">
        <v>126</v>
      </c>
      <c r="D32" s="55">
        <v>824.03500000000008</v>
      </c>
      <c r="E32" s="62">
        <f>'[1]Utility Consumption'!D29/D32</f>
        <v>3.565625246500452E-2</v>
      </c>
      <c r="F32" s="88">
        <v>824.37</v>
      </c>
      <c r="G32" s="62">
        <f>'[1]Utility Consumption'!E29/F32</f>
        <v>3.5189296068512926E-2</v>
      </c>
      <c r="H32" s="88">
        <v>737.19999999999993</v>
      </c>
      <c r="I32" s="62">
        <f>'[1]Utility Consumption'!F29/H32</f>
        <v>3.8798155181768858E-2</v>
      </c>
      <c r="J32" s="55">
        <v>860.65</v>
      </c>
      <c r="K32" s="62">
        <f>'[1]Utility Consumption'!G29/J32</f>
        <v>3.2965781676639751E-2</v>
      </c>
      <c r="L32" s="88">
        <v>863.6149999999999</v>
      </c>
      <c r="M32" s="62">
        <f>'[1]Utility Consumption'!H29/L32</f>
        <v>3.2215744284200716E-2</v>
      </c>
      <c r="N32" s="88">
        <v>891.86999999999989</v>
      </c>
      <c r="O32" s="62">
        <f>'[1]Utility Consumption'!I29/N32</f>
        <v>3.0088465807797105E-2</v>
      </c>
      <c r="P32" s="62">
        <v>896.20000000000073</v>
      </c>
      <c r="Q32" s="62">
        <f>'[1]Utility Consumption'!J29/P32</f>
        <v>3.1686007587592026E-2</v>
      </c>
      <c r="R32" s="55">
        <v>896.43499999999972</v>
      </c>
      <c r="S32" s="62">
        <f>'[1]Utility Consumption'!K29/R32</f>
        <v>2.8464975151572626E-2</v>
      </c>
      <c r="T32" s="55">
        <v>905.79999999999916</v>
      </c>
      <c r="U32" s="62">
        <f>'[1]Utility Consumption'!L29/T32</f>
        <v>3.1047692647383558E-2</v>
      </c>
      <c r="V32" s="88">
        <v>881.72500000000048</v>
      </c>
      <c r="W32" s="62">
        <f>'[1]Utility Consumption'!M29/V32</f>
        <v>3.1539312143808992E-2</v>
      </c>
      <c r="X32" s="88">
        <v>895.23499999999967</v>
      </c>
      <c r="Y32" s="62">
        <f>'[1]Utility Consumption'!N29/X32</f>
        <v>3.238479281976242E-2</v>
      </c>
      <c r="Z32" s="88">
        <v>931.75500000000056</v>
      </c>
      <c r="AA32" s="62">
        <f>'[1]Utility Consumption'!O29/Z32</f>
        <v>3.0757012304736743E-2</v>
      </c>
      <c r="AB32" s="88">
        <v>864.60000000000025</v>
      </c>
      <c r="AC32" s="62">
        <f>'[1]Utility Consumption'!P29/AB32</f>
        <v>3.3565810779551231E-2</v>
      </c>
      <c r="AD32" s="88">
        <v>918.97000000000025</v>
      </c>
      <c r="AE32" s="62">
        <f>'[1]Utility Consumption'!Q29/AD32</f>
        <v>3.0602740024157474E-2</v>
      </c>
      <c r="AF32" s="88">
        <v>897.47500000000002</v>
      </c>
      <c r="AG32" s="62">
        <f>'[1]Utility Consumption'!R29/AF32</f>
        <v>3.1063817933647177E-2</v>
      </c>
    </row>
    <row r="33" spans="1:33">
      <c r="A33" s="165" t="s">
        <v>3</v>
      </c>
      <c r="B33" s="90" t="s">
        <v>13</v>
      </c>
      <c r="C33" s="64" t="s">
        <v>125</v>
      </c>
      <c r="D33" s="55">
        <v>824.03500000000008</v>
      </c>
      <c r="E33" s="62">
        <f>'[1]Utility Consumption'!D30/D33</f>
        <v>1.0630616417991953E-2</v>
      </c>
      <c r="F33" s="88">
        <v>824.37</v>
      </c>
      <c r="G33" s="62">
        <f>'[1]Utility Consumption'!E30/F33</f>
        <v>7.6058080716183262E-3</v>
      </c>
      <c r="H33" s="88">
        <v>737.19999999999993</v>
      </c>
      <c r="I33" s="62">
        <f>'[1]Utility Consumption'!F30/H33</f>
        <v>7.2571893651654914E-3</v>
      </c>
      <c r="J33" s="55">
        <v>860.65</v>
      </c>
      <c r="K33" s="62">
        <f>'[1]Utility Consumption'!G30/J33</f>
        <v>8.2960553070353799E-3</v>
      </c>
      <c r="L33" s="88">
        <v>863.6149999999999</v>
      </c>
      <c r="M33" s="62">
        <f>'[1]Utility Consumption'!H30/L33</f>
        <v>3.8674640899011717E-3</v>
      </c>
      <c r="N33" s="88">
        <v>891.86999999999989</v>
      </c>
      <c r="O33" s="62">
        <f>'[1]Utility Consumption'!I30/N33</f>
        <v>3.2964445490934781E-3</v>
      </c>
      <c r="P33" s="62">
        <v>896.20000000000073</v>
      </c>
      <c r="Q33" s="62">
        <f>'[1]Utility Consumption'!J30/P33</f>
        <v>6.5610354831510771E-3</v>
      </c>
      <c r="R33" s="55">
        <v>896.43499999999972</v>
      </c>
      <c r="S33" s="62">
        <f>'[1]Utility Consumption'!K30/R33</f>
        <v>6.5704708093726836E-3</v>
      </c>
      <c r="T33" s="55">
        <v>905.79999999999916</v>
      </c>
      <c r="U33" s="62">
        <f>'[1]Utility Consumption'!L30/T33</f>
        <v>6.4362994038419134E-3</v>
      </c>
      <c r="V33" s="88">
        <v>881.72500000000048</v>
      </c>
      <c r="W33" s="62">
        <f>'[1]Utility Consumption'!M30/V33</f>
        <v>7.3378887975275699E-3</v>
      </c>
      <c r="X33" s="88">
        <v>895.23499999999967</v>
      </c>
      <c r="Y33" s="62">
        <f>'[1]Utility Consumption'!N30/X33</f>
        <v>8.6457745731567722E-3</v>
      </c>
      <c r="Z33" s="88">
        <v>931.75500000000056</v>
      </c>
      <c r="AA33" s="62">
        <f>'[1]Utility Consumption'!O30/Z33</f>
        <v>6.0316284860290493E-3</v>
      </c>
      <c r="AB33" s="88">
        <v>864.60000000000025</v>
      </c>
      <c r="AC33" s="62">
        <f>'[1]Utility Consumption'!P30/AB33</f>
        <v>1.4584779088595878E-2</v>
      </c>
      <c r="AD33" s="88">
        <v>918.97000000000025</v>
      </c>
      <c r="AE33" s="62">
        <f>'[1]Utility Consumption'!Q30/AD33</f>
        <v>6.3440591096553733E-3</v>
      </c>
      <c r="AF33" s="88">
        <v>897.47500000000002</v>
      </c>
      <c r="AG33" s="62">
        <f>'[1]Utility Consumption'!R30/AF33</f>
        <v>9.3484498175436647E-3</v>
      </c>
    </row>
    <row r="34" spans="1:33">
      <c r="A34" s="165" t="s">
        <v>3</v>
      </c>
      <c r="B34" s="91" t="s">
        <v>12</v>
      </c>
      <c r="C34" s="92" t="s">
        <v>124</v>
      </c>
      <c r="D34" s="55">
        <v>824.03500000000008</v>
      </c>
      <c r="E34" s="62">
        <f>'[1]Utility Consumption'!D31/D34</f>
        <v>0.31794765999017027</v>
      </c>
      <c r="F34" s="88">
        <v>824.37</v>
      </c>
      <c r="G34" s="62">
        <f>'[1]Utility Consumption'!E31/F34</f>
        <v>0.32509674054126181</v>
      </c>
      <c r="H34" s="88">
        <v>737.19999999999993</v>
      </c>
      <c r="I34" s="62">
        <f>'[1]Utility Consumption'!F31/H34</f>
        <v>0.34861638632664138</v>
      </c>
      <c r="J34" s="55">
        <v>860.65</v>
      </c>
      <c r="K34" s="62">
        <f>'[1]Utility Consumption'!G31/J34</f>
        <v>0.31952593969674087</v>
      </c>
      <c r="L34" s="88">
        <v>863.6149999999999</v>
      </c>
      <c r="M34" s="62">
        <f>'[1]Utility Consumption'!H31/L34</f>
        <v>0.33232401012025037</v>
      </c>
      <c r="N34" s="88">
        <v>891.86999999999989</v>
      </c>
      <c r="O34" s="62">
        <f>'[1]Utility Consumption'!I31/N34</f>
        <v>0.35206924776032383</v>
      </c>
      <c r="P34" s="62">
        <v>896.20000000000073</v>
      </c>
      <c r="Q34" s="62">
        <f>'[1]Utility Consumption'!J31/P34</f>
        <v>0.32470430707431353</v>
      </c>
      <c r="R34" s="55">
        <v>896.43499999999972</v>
      </c>
      <c r="S34" s="62">
        <f>'[1]Utility Consumption'!K31/R34</f>
        <v>0.31346388750997017</v>
      </c>
      <c r="T34" s="55">
        <v>905.79999999999916</v>
      </c>
      <c r="U34" s="62">
        <f>'[1]Utility Consumption'!L31/T34</f>
        <v>0.30691101788474306</v>
      </c>
      <c r="V34" s="88">
        <v>881.72500000000048</v>
      </c>
      <c r="W34" s="62">
        <f>'[1]Utility Consumption'!M31/V34</f>
        <v>0.30962034647991138</v>
      </c>
      <c r="X34" s="88">
        <v>895.23499999999967</v>
      </c>
      <c r="Y34" s="62">
        <f>'[1]Utility Consumption'!N31/X34</f>
        <v>0.3105329885449073</v>
      </c>
      <c r="Z34" s="88">
        <v>931.75500000000056</v>
      </c>
      <c r="AA34" s="62">
        <f>'[1]Utility Consumption'!O31/Z34</f>
        <v>0.29514196328433961</v>
      </c>
      <c r="AB34" s="88">
        <v>864.60000000000025</v>
      </c>
      <c r="AC34" s="62">
        <f>'[1]Utility Consumption'!P31/AB34</f>
        <v>0.29493407356002765</v>
      </c>
      <c r="AD34" s="88">
        <v>918.97000000000025</v>
      </c>
      <c r="AE34" s="62">
        <f>'[1]Utility Consumption'!Q31/AD34</f>
        <v>0.30251259562336086</v>
      </c>
      <c r="AF34" s="88">
        <v>897.47500000000002</v>
      </c>
      <c r="AG34" s="62">
        <f>'[1]Utility Consumption'!R31/AF34</f>
        <v>0.32090030362962757</v>
      </c>
    </row>
    <row r="35" spans="1:33">
      <c r="A35" s="165" t="s">
        <v>3</v>
      </c>
      <c r="B35" s="93" t="s">
        <v>15</v>
      </c>
      <c r="C35" s="93" t="s">
        <v>129</v>
      </c>
      <c r="D35" s="55">
        <v>824.03500000000008</v>
      </c>
      <c r="E35" s="62">
        <f>[1]Production!D36/D35</f>
        <v>5.2182249540371463E-2</v>
      </c>
      <c r="F35" s="88">
        <v>824.37</v>
      </c>
      <c r="G35" s="62">
        <f>[1]Production!E36/F35</f>
        <v>6.4291519584652526E-2</v>
      </c>
      <c r="H35" s="88">
        <v>737.19999999999993</v>
      </c>
      <c r="I35" s="62">
        <f>[1]Production!F36/H35</f>
        <v>1.7634291915355399E-2</v>
      </c>
      <c r="J35" s="55">
        <v>860.65</v>
      </c>
      <c r="K35" s="62">
        <f>[1]Production!G36/J35</f>
        <v>5.577180038343113E-2</v>
      </c>
      <c r="L35" s="88">
        <v>863.6149999999999</v>
      </c>
      <c r="M35" s="62">
        <f>[1]Production!H36/L35</f>
        <v>2.6632237744828428E-2</v>
      </c>
      <c r="N35" s="88">
        <v>891.86999999999989</v>
      </c>
      <c r="O35" s="62">
        <f>[1]Production!I36/N35</f>
        <v>3.3637189276464065E-2</v>
      </c>
      <c r="P35" s="62">
        <v>896.20000000000073</v>
      </c>
      <c r="Q35" s="62">
        <f>[1]Production!J36/P35</f>
        <v>4.2401249721044372E-2</v>
      </c>
      <c r="R35" s="55">
        <v>896.43499999999972</v>
      </c>
      <c r="S35" s="62">
        <f>[1]Production!K36/R35</f>
        <v>4.7967783497966959E-2</v>
      </c>
      <c r="T35" s="55">
        <v>905.79999999999916</v>
      </c>
      <c r="U35" s="62">
        <f>[1]Production!L36/T35</f>
        <v>2.5060719805696643E-2</v>
      </c>
      <c r="V35" s="88">
        <v>881.72500000000048</v>
      </c>
      <c r="W35" s="62">
        <f>[1]Production!M36/V35</f>
        <v>2.6981201621820848E-2</v>
      </c>
      <c r="X35" s="88">
        <v>895.23499999999967</v>
      </c>
      <c r="Y35" s="62">
        <f>[1]Production!N36/X35</f>
        <v>4.8568253028534424E-2</v>
      </c>
      <c r="Z35" s="88">
        <v>931.75500000000056</v>
      </c>
      <c r="AA35" s="62">
        <f>[1]Production!O36/Z35</f>
        <v>0.10517786327951011</v>
      </c>
      <c r="AB35" s="88">
        <v>864.60000000000025</v>
      </c>
      <c r="AC35" s="62">
        <f>[1]Production!P36/AB35</f>
        <v>0.12722646310432567</v>
      </c>
      <c r="AD35" s="88">
        <v>918.97000000000025</v>
      </c>
      <c r="AE35" s="62">
        <f>[1]Production!Q36/AD35</f>
        <v>9.5759382787250921E-2</v>
      </c>
      <c r="AF35" s="88">
        <v>897.47500000000002</v>
      </c>
      <c r="AG35" s="62">
        <f>[1]Production!R36/AF35</f>
        <v>8.8024736065071454E-2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57853-F41E-4B5A-9695-12EBAB2DE53F}">
  <dimension ref="A1:P31"/>
  <sheetViews>
    <sheetView workbookViewId="0"/>
  </sheetViews>
  <sheetFormatPr defaultRowHeight="14.4"/>
  <cols>
    <col min="1" max="1" width="6.88671875" customWidth="1"/>
    <col min="2" max="2" width="8.6640625" bestFit="1" customWidth="1"/>
    <col min="3" max="3" width="26.5546875" customWidth="1"/>
    <col min="4" max="10" width="11" customWidth="1"/>
    <col min="11" max="16" width="12" customWidth="1"/>
  </cols>
  <sheetData>
    <row r="1" spans="1:16">
      <c r="A1" s="152" t="s">
        <v>0</v>
      </c>
      <c r="B1" s="153" t="s">
        <v>53</v>
      </c>
      <c r="C1" s="153" t="s">
        <v>54</v>
      </c>
      <c r="D1" s="154" t="s">
        <v>46</v>
      </c>
      <c r="E1" s="154" t="s">
        <v>47</v>
      </c>
      <c r="F1" s="154" t="s">
        <v>48</v>
      </c>
      <c r="G1" s="154" t="s">
        <v>49</v>
      </c>
      <c r="H1" s="154" t="s">
        <v>50</v>
      </c>
      <c r="I1" s="154" t="s">
        <v>51</v>
      </c>
      <c r="J1" s="154" t="s">
        <v>52</v>
      </c>
      <c r="K1" s="154" t="s">
        <v>39</v>
      </c>
      <c r="L1" s="154" t="s">
        <v>40</v>
      </c>
      <c r="M1" s="154" t="s">
        <v>41</v>
      </c>
      <c r="N1" s="154" t="s">
        <v>42</v>
      </c>
      <c r="O1" s="154" t="s">
        <v>43</v>
      </c>
      <c r="P1" s="155" t="s">
        <v>44</v>
      </c>
    </row>
    <row r="2" spans="1:16" ht="52.8">
      <c r="A2" s="148" t="s">
        <v>1</v>
      </c>
      <c r="B2" s="94" t="s">
        <v>55</v>
      </c>
      <c r="C2" s="95">
        <v>6</v>
      </c>
      <c r="D2" s="96">
        <v>31.67</v>
      </c>
      <c r="E2" s="81">
        <v>23.72</v>
      </c>
      <c r="F2" s="96">
        <v>27.67</v>
      </c>
      <c r="G2" s="96">
        <v>19.940000000000001</v>
      </c>
      <c r="H2" s="96">
        <v>23.44</v>
      </c>
      <c r="I2" s="96">
        <v>25.21</v>
      </c>
      <c r="J2" s="96">
        <v>37.29</v>
      </c>
      <c r="K2" s="96">
        <v>34.299999999999997</v>
      </c>
      <c r="L2" s="96">
        <v>34.35</v>
      </c>
      <c r="M2" s="81">
        <v>23.72</v>
      </c>
      <c r="N2" s="79">
        <v>51.39</v>
      </c>
      <c r="O2" s="79">
        <v>33.409999999999997</v>
      </c>
      <c r="P2" s="150">
        <v>32.25</v>
      </c>
    </row>
    <row r="3" spans="1:16" ht="26.4">
      <c r="A3" s="148" t="s">
        <v>1</v>
      </c>
      <c r="B3" s="94" t="s">
        <v>56</v>
      </c>
      <c r="C3" s="95"/>
      <c r="D3" s="96">
        <v>10.1</v>
      </c>
      <c r="E3" s="81">
        <v>14.35</v>
      </c>
      <c r="F3" s="96">
        <v>14.55</v>
      </c>
      <c r="G3" s="96">
        <v>10.93</v>
      </c>
      <c r="H3" s="96">
        <v>16.670000000000002</v>
      </c>
      <c r="I3" s="96">
        <v>18.3</v>
      </c>
      <c r="J3" s="96">
        <v>10.98</v>
      </c>
      <c r="K3" s="96">
        <v>8.06</v>
      </c>
      <c r="L3" s="96">
        <v>14.68</v>
      </c>
      <c r="M3" s="81">
        <v>14.35</v>
      </c>
      <c r="N3" s="79">
        <v>7.55</v>
      </c>
      <c r="O3" s="79">
        <v>9.33</v>
      </c>
      <c r="P3" s="150">
        <v>6.97</v>
      </c>
    </row>
    <row r="4" spans="1:16" ht="52.8">
      <c r="A4" s="148" t="s">
        <v>1</v>
      </c>
      <c r="B4" s="94" t="s">
        <v>57</v>
      </c>
      <c r="C4" s="95"/>
      <c r="D4" s="96">
        <v>67.75</v>
      </c>
      <c r="E4" s="81">
        <v>32</v>
      </c>
      <c r="F4" s="96">
        <v>43.75</v>
      </c>
      <c r="G4" s="96">
        <v>30</v>
      </c>
      <c r="H4" s="96">
        <v>36.25</v>
      </c>
      <c r="I4" s="96">
        <v>49.5</v>
      </c>
      <c r="J4" s="96">
        <v>72</v>
      </c>
      <c r="K4" s="96">
        <v>55.75</v>
      </c>
      <c r="L4" s="96">
        <v>76</v>
      </c>
      <c r="M4" s="81">
        <v>32</v>
      </c>
      <c r="N4" s="79">
        <v>235.5</v>
      </c>
      <c r="O4" s="79">
        <v>47.5</v>
      </c>
      <c r="P4" s="150">
        <v>75.25</v>
      </c>
    </row>
    <row r="5" spans="1:16" ht="26.4">
      <c r="A5" s="148" t="s">
        <v>1</v>
      </c>
      <c r="B5" s="94" t="s">
        <v>58</v>
      </c>
      <c r="C5" s="95"/>
      <c r="D5" s="96">
        <v>3040</v>
      </c>
      <c r="E5" s="81">
        <v>2277</v>
      </c>
      <c r="F5" s="96">
        <v>2656</v>
      </c>
      <c r="G5" s="96">
        <v>1914</v>
      </c>
      <c r="H5" s="96">
        <v>2250</v>
      </c>
      <c r="I5" s="96">
        <v>2420</v>
      </c>
      <c r="J5" s="96">
        <v>3580</v>
      </c>
      <c r="K5" s="96">
        <v>3293</v>
      </c>
      <c r="L5" s="96">
        <v>3297</v>
      </c>
      <c r="M5" s="81">
        <v>2277</v>
      </c>
      <c r="N5" s="79">
        <v>4933</v>
      </c>
      <c r="O5" s="79">
        <v>3207</v>
      </c>
      <c r="P5" s="150">
        <v>3096</v>
      </c>
    </row>
    <row r="6" spans="1:16" ht="26.4">
      <c r="A6" s="148" t="s">
        <v>1</v>
      </c>
      <c r="B6" s="94" t="s">
        <v>59</v>
      </c>
      <c r="C6" s="95">
        <v>0</v>
      </c>
      <c r="D6" s="96">
        <v>586</v>
      </c>
      <c r="E6" s="81">
        <v>273</v>
      </c>
      <c r="F6" s="96">
        <v>351</v>
      </c>
      <c r="G6" s="96">
        <v>164</v>
      </c>
      <c r="H6" s="96">
        <v>223</v>
      </c>
      <c r="I6" s="96">
        <v>180</v>
      </c>
      <c r="J6" s="96">
        <v>900</v>
      </c>
      <c r="K6" s="96">
        <v>607</v>
      </c>
      <c r="L6" s="96">
        <v>507</v>
      </c>
      <c r="M6" s="81">
        <v>273</v>
      </c>
      <c r="N6" s="79">
        <v>1347</v>
      </c>
      <c r="O6" s="79">
        <v>342</v>
      </c>
      <c r="P6" s="150">
        <v>539</v>
      </c>
    </row>
    <row r="7" spans="1:16" ht="26.4">
      <c r="A7" s="148" t="s">
        <v>1</v>
      </c>
      <c r="B7" s="94" t="s">
        <v>60</v>
      </c>
      <c r="C7" s="95"/>
      <c r="D7" s="96">
        <v>30710</v>
      </c>
      <c r="E7" s="81">
        <v>32680</v>
      </c>
      <c r="F7" s="96">
        <v>38650</v>
      </c>
      <c r="G7" s="96">
        <v>20926</v>
      </c>
      <c r="H7" s="96">
        <v>37516</v>
      </c>
      <c r="I7" s="96">
        <v>44292</v>
      </c>
      <c r="J7" s="96">
        <v>39315</v>
      </c>
      <c r="K7" s="96">
        <v>26542</v>
      </c>
      <c r="L7" s="96">
        <v>48384</v>
      </c>
      <c r="M7" s="81">
        <v>32680</v>
      </c>
      <c r="N7" s="79">
        <v>37229</v>
      </c>
      <c r="O7" s="79">
        <v>29919</v>
      </c>
      <c r="P7" s="150">
        <v>21566</v>
      </c>
    </row>
    <row r="8" spans="1:16" ht="26.4">
      <c r="A8" s="148" t="s">
        <v>1</v>
      </c>
      <c r="B8" s="94" t="s">
        <v>61</v>
      </c>
      <c r="C8" s="95">
        <v>10</v>
      </c>
      <c r="D8" s="96">
        <v>1020</v>
      </c>
      <c r="E8" s="81">
        <v>995</v>
      </c>
      <c r="F8" s="96">
        <v>1018</v>
      </c>
      <c r="G8" s="96">
        <v>1020</v>
      </c>
      <c r="H8" s="96">
        <v>1015</v>
      </c>
      <c r="I8" s="96">
        <v>1019</v>
      </c>
      <c r="J8" s="96">
        <v>1008</v>
      </c>
      <c r="K8" s="96">
        <v>1012</v>
      </c>
      <c r="L8" s="96">
        <v>993</v>
      </c>
      <c r="M8" s="81">
        <v>995</v>
      </c>
      <c r="N8" s="79">
        <v>983</v>
      </c>
      <c r="O8" s="79">
        <v>988</v>
      </c>
      <c r="P8" s="150">
        <v>990</v>
      </c>
    </row>
    <row r="9" spans="1:16" ht="39.6">
      <c r="A9" s="148" t="s">
        <v>1</v>
      </c>
      <c r="B9" s="94" t="s">
        <v>62</v>
      </c>
      <c r="C9" s="95"/>
      <c r="D9" s="96">
        <v>11</v>
      </c>
      <c r="E9" s="81">
        <v>7</v>
      </c>
      <c r="F9" s="96">
        <v>10</v>
      </c>
      <c r="G9" s="96">
        <v>10</v>
      </c>
      <c r="H9" s="96">
        <v>9</v>
      </c>
      <c r="I9" s="96">
        <v>7</v>
      </c>
      <c r="J9" s="96">
        <v>11</v>
      </c>
      <c r="K9" s="96">
        <v>13</v>
      </c>
      <c r="L9" s="96">
        <v>10</v>
      </c>
      <c r="M9" s="81">
        <v>7</v>
      </c>
      <c r="N9" s="79">
        <v>10</v>
      </c>
      <c r="O9" s="79">
        <v>8</v>
      </c>
      <c r="P9" s="150">
        <v>8</v>
      </c>
    </row>
    <row r="10" spans="1:16" ht="26.4">
      <c r="A10" s="148" t="s">
        <v>1</v>
      </c>
      <c r="B10" s="94" t="s">
        <v>63</v>
      </c>
      <c r="C10" s="95">
        <v>0</v>
      </c>
      <c r="D10" s="96">
        <v>524</v>
      </c>
      <c r="E10" s="81">
        <v>144</v>
      </c>
      <c r="F10" s="96">
        <v>237</v>
      </c>
      <c r="G10" s="96">
        <v>75</v>
      </c>
      <c r="H10" s="96">
        <v>175</v>
      </c>
      <c r="I10" s="96">
        <v>61</v>
      </c>
      <c r="J10" s="96">
        <v>1156</v>
      </c>
      <c r="K10" s="96">
        <v>617</v>
      </c>
      <c r="L10" s="96">
        <v>365</v>
      </c>
      <c r="M10" s="81">
        <v>144</v>
      </c>
      <c r="N10" s="79">
        <v>1643</v>
      </c>
      <c r="O10" s="79">
        <v>347</v>
      </c>
      <c r="P10" s="150">
        <v>457</v>
      </c>
    </row>
    <row r="11" spans="1:16" ht="26.4">
      <c r="A11" s="148" t="s">
        <v>1</v>
      </c>
      <c r="B11" s="94" t="s">
        <v>64</v>
      </c>
      <c r="C11" s="95"/>
      <c r="D11" s="96">
        <v>39414</v>
      </c>
      <c r="E11" s="81">
        <v>39602</v>
      </c>
      <c r="F11" s="96">
        <v>46316</v>
      </c>
      <c r="G11" s="96">
        <v>26299</v>
      </c>
      <c r="H11" s="96">
        <v>43983</v>
      </c>
      <c r="I11" s="96">
        <v>51026</v>
      </c>
      <c r="J11" s="96">
        <v>49688</v>
      </c>
      <c r="K11" s="96">
        <v>35776</v>
      </c>
      <c r="L11" s="96">
        <v>57842</v>
      </c>
      <c r="M11" s="81">
        <v>39602</v>
      </c>
      <c r="N11" s="79">
        <v>52345</v>
      </c>
      <c r="O11" s="79">
        <v>39587</v>
      </c>
      <c r="P11" s="150">
        <v>31128</v>
      </c>
    </row>
    <row r="12" spans="1:16" ht="52.8">
      <c r="A12" s="149" t="s">
        <v>2</v>
      </c>
      <c r="B12" s="98" t="s">
        <v>55</v>
      </c>
      <c r="C12" s="99">
        <v>6</v>
      </c>
      <c r="D12" s="100">
        <v>1210.1099999999999</v>
      </c>
      <c r="E12" s="100">
        <v>539.89</v>
      </c>
      <c r="F12" s="100">
        <v>46.75</v>
      </c>
      <c r="G12" s="42">
        <v>305.33</v>
      </c>
      <c r="H12" s="100">
        <v>124.72</v>
      </c>
      <c r="I12" s="100">
        <v>80.63</v>
      </c>
      <c r="J12" s="100">
        <v>61.32</v>
      </c>
      <c r="K12" s="100">
        <v>89.75</v>
      </c>
      <c r="L12" s="100">
        <v>149.13999999999999</v>
      </c>
      <c r="M12" s="46">
        <v>61.56</v>
      </c>
      <c r="N12" s="46">
        <v>33.93</v>
      </c>
      <c r="O12" s="46">
        <v>30.08</v>
      </c>
      <c r="P12" s="151">
        <v>46.19</v>
      </c>
    </row>
    <row r="13" spans="1:16" ht="26.4">
      <c r="A13" s="149" t="s">
        <v>2</v>
      </c>
      <c r="B13" s="98" t="s">
        <v>56</v>
      </c>
      <c r="C13" s="99"/>
      <c r="D13" s="42">
        <v>0.02</v>
      </c>
      <c r="E13" s="42">
        <v>0.02</v>
      </c>
      <c r="F13" s="42">
        <v>0.8</v>
      </c>
      <c r="G13" s="42">
        <v>10738</v>
      </c>
      <c r="H13" s="42">
        <v>0.28000000000000003</v>
      </c>
      <c r="I13" s="42">
        <v>0.44</v>
      </c>
      <c r="J13" s="42">
        <v>0.37</v>
      </c>
      <c r="K13" s="42">
        <v>0.3</v>
      </c>
      <c r="L13" s="42">
        <v>0.22</v>
      </c>
      <c r="M13" s="46">
        <v>0.48</v>
      </c>
      <c r="N13" s="46">
        <v>0.59</v>
      </c>
      <c r="O13" s="46">
        <v>0.6</v>
      </c>
      <c r="P13" s="151">
        <v>0.84</v>
      </c>
    </row>
    <row r="14" spans="1:16" ht="52.8">
      <c r="A14" s="149" t="s">
        <v>2</v>
      </c>
      <c r="B14" s="98" t="s">
        <v>57</v>
      </c>
      <c r="C14" s="99"/>
      <c r="D14" s="42">
        <v>1253</v>
      </c>
      <c r="E14" s="42">
        <v>1221</v>
      </c>
      <c r="F14" s="42">
        <v>254.67</v>
      </c>
      <c r="G14" s="42">
        <v>8566</v>
      </c>
      <c r="H14" s="42">
        <v>271</v>
      </c>
      <c r="I14" s="42">
        <v>268.33</v>
      </c>
      <c r="J14" s="42">
        <v>265</v>
      </c>
      <c r="K14" s="42">
        <v>281.33</v>
      </c>
      <c r="L14" s="42">
        <v>305.33</v>
      </c>
      <c r="M14" s="46">
        <v>307</v>
      </c>
      <c r="N14" s="46">
        <v>66.67</v>
      </c>
      <c r="O14" s="46">
        <v>49</v>
      </c>
      <c r="P14" s="151">
        <v>78</v>
      </c>
    </row>
    <row r="15" spans="1:16" ht="26.4">
      <c r="A15" s="149" t="s">
        <v>2</v>
      </c>
      <c r="B15" s="98" t="s">
        <v>58</v>
      </c>
      <c r="C15" s="99"/>
      <c r="D15" s="42">
        <v>87128</v>
      </c>
      <c r="E15" s="42">
        <v>38872</v>
      </c>
      <c r="F15" s="42">
        <v>3366</v>
      </c>
      <c r="G15" s="42">
        <v>2386</v>
      </c>
      <c r="H15" s="42">
        <v>8980</v>
      </c>
      <c r="I15" s="42">
        <v>5805</v>
      </c>
      <c r="J15" s="42">
        <v>4415</v>
      </c>
      <c r="K15" s="42">
        <v>6462</v>
      </c>
      <c r="L15" s="42">
        <v>10738</v>
      </c>
      <c r="M15" s="46">
        <v>4432</v>
      </c>
      <c r="N15" s="46">
        <v>2443</v>
      </c>
      <c r="O15" s="46">
        <v>2166</v>
      </c>
      <c r="P15" s="151">
        <v>3326</v>
      </c>
    </row>
    <row r="16" spans="1:16" ht="26.4">
      <c r="A16" s="149" t="s">
        <v>2</v>
      </c>
      <c r="B16" s="98" t="s">
        <v>59</v>
      </c>
      <c r="C16" s="99">
        <v>0</v>
      </c>
      <c r="D16" s="42">
        <v>53700</v>
      </c>
      <c r="E16" s="42">
        <v>25680</v>
      </c>
      <c r="F16" s="42">
        <v>2339</v>
      </c>
      <c r="G16" s="42">
        <v>270</v>
      </c>
      <c r="H16" s="42">
        <v>6901</v>
      </c>
      <c r="I16" s="42">
        <v>3845</v>
      </c>
      <c r="J16" s="42">
        <v>3035</v>
      </c>
      <c r="K16" s="42">
        <v>4927</v>
      </c>
      <c r="L16" s="42">
        <v>8566</v>
      </c>
      <c r="M16" s="46">
        <v>1949</v>
      </c>
      <c r="N16" s="46">
        <v>712</v>
      </c>
      <c r="O16" s="46">
        <v>587</v>
      </c>
      <c r="P16" s="151">
        <v>1184</v>
      </c>
    </row>
    <row r="17" spans="1:16" ht="26.4">
      <c r="A17" s="149" t="s">
        <v>2</v>
      </c>
      <c r="B17" s="98" t="s">
        <v>60</v>
      </c>
      <c r="C17" s="99"/>
      <c r="D17" s="42">
        <v>1450</v>
      </c>
      <c r="E17" s="42">
        <v>903</v>
      </c>
      <c r="F17" s="42">
        <v>2699</v>
      </c>
      <c r="G17" s="42">
        <v>21</v>
      </c>
      <c r="H17" s="42">
        <v>2479</v>
      </c>
      <c r="I17" s="42">
        <v>2577</v>
      </c>
      <c r="J17" s="42">
        <v>1622</v>
      </c>
      <c r="K17" s="42">
        <v>1950</v>
      </c>
      <c r="L17" s="42">
        <v>2386</v>
      </c>
      <c r="M17" s="46">
        <v>2111</v>
      </c>
      <c r="N17" s="46">
        <v>1435</v>
      </c>
      <c r="O17" s="46">
        <v>1306</v>
      </c>
      <c r="P17" s="151">
        <v>2810</v>
      </c>
    </row>
    <row r="18" spans="1:16" ht="26.4">
      <c r="A18" s="149" t="s">
        <v>2</v>
      </c>
      <c r="B18" s="98" t="s">
        <v>61</v>
      </c>
      <c r="C18" s="99">
        <v>10</v>
      </c>
      <c r="D18" s="42">
        <v>823</v>
      </c>
      <c r="E18" s="42">
        <v>811</v>
      </c>
      <c r="F18" s="42">
        <v>804</v>
      </c>
      <c r="G18" s="42">
        <v>7662</v>
      </c>
      <c r="H18" s="42">
        <v>800</v>
      </c>
      <c r="I18" s="42">
        <v>790</v>
      </c>
      <c r="J18" s="42">
        <v>72</v>
      </c>
      <c r="K18" s="42">
        <v>111</v>
      </c>
      <c r="L18" s="42">
        <v>270</v>
      </c>
      <c r="M18" s="46">
        <v>162</v>
      </c>
      <c r="N18" s="46">
        <v>167</v>
      </c>
      <c r="O18" s="46">
        <v>166</v>
      </c>
      <c r="P18" s="151">
        <v>172</v>
      </c>
    </row>
    <row r="19" spans="1:16" ht="39.6">
      <c r="A19" s="149" t="s">
        <v>2</v>
      </c>
      <c r="B19" s="98" t="s">
        <v>62</v>
      </c>
      <c r="C19" s="99"/>
      <c r="D19" s="42">
        <v>22</v>
      </c>
      <c r="E19" s="42">
        <v>22</v>
      </c>
      <c r="F19" s="42">
        <v>22</v>
      </c>
      <c r="G19" s="42">
        <v>28715</v>
      </c>
      <c r="H19" s="42">
        <v>23</v>
      </c>
      <c r="I19" s="42">
        <v>23</v>
      </c>
      <c r="J19" s="42">
        <v>23</v>
      </c>
      <c r="K19" s="42">
        <v>20</v>
      </c>
      <c r="L19" s="42">
        <v>21</v>
      </c>
      <c r="M19" s="46">
        <v>20</v>
      </c>
      <c r="N19" s="46">
        <v>15</v>
      </c>
      <c r="O19" s="46">
        <v>16</v>
      </c>
      <c r="P19" s="151">
        <v>16</v>
      </c>
    </row>
    <row r="20" spans="1:16" ht="26.4">
      <c r="A20" s="149" t="s">
        <v>2</v>
      </c>
      <c r="B20" s="98" t="s">
        <v>63</v>
      </c>
      <c r="C20" s="99">
        <v>0</v>
      </c>
      <c r="D20" s="42">
        <v>9948</v>
      </c>
      <c r="E20" s="42">
        <v>9896</v>
      </c>
      <c r="F20" s="42">
        <v>1998</v>
      </c>
      <c r="G20" s="42">
        <v>301</v>
      </c>
      <c r="H20" s="42">
        <v>7254</v>
      </c>
      <c r="I20" s="42">
        <v>3778</v>
      </c>
      <c r="J20" s="42">
        <v>2726</v>
      </c>
      <c r="K20" s="42">
        <v>4624</v>
      </c>
      <c r="L20" s="42">
        <v>7662</v>
      </c>
      <c r="M20" s="46">
        <v>1556</v>
      </c>
      <c r="N20" s="46">
        <v>538</v>
      </c>
      <c r="O20" s="46">
        <v>467</v>
      </c>
      <c r="P20" s="151">
        <v>1211</v>
      </c>
    </row>
    <row r="21" spans="1:16" ht="26.4">
      <c r="A21" s="149" t="s">
        <v>2</v>
      </c>
      <c r="B21" s="98" t="s">
        <v>64</v>
      </c>
      <c r="C21" s="99"/>
      <c r="D21" s="42">
        <v>176660</v>
      </c>
      <c r="E21" s="42">
        <v>79842</v>
      </c>
      <c r="F21" s="42">
        <v>11018</v>
      </c>
      <c r="G21" s="42">
        <v>5140</v>
      </c>
      <c r="H21" s="42">
        <v>22381</v>
      </c>
      <c r="I21" s="42">
        <v>16776</v>
      </c>
      <c r="J21" s="42">
        <v>14001</v>
      </c>
      <c r="K21" s="42">
        <v>17453</v>
      </c>
      <c r="L21" s="42">
        <v>28715</v>
      </c>
      <c r="M21" s="46">
        <v>15755</v>
      </c>
      <c r="N21" s="46">
        <v>9237</v>
      </c>
      <c r="O21" s="46">
        <v>7641</v>
      </c>
      <c r="P21" s="151">
        <v>12206</v>
      </c>
    </row>
    <row r="22" spans="1:16" ht="52.8">
      <c r="A22" s="140" t="s">
        <v>3</v>
      </c>
      <c r="B22" s="102" t="s">
        <v>55</v>
      </c>
      <c r="C22" s="103">
        <v>6</v>
      </c>
      <c r="D22" s="104">
        <v>28.58</v>
      </c>
      <c r="E22" s="92">
        <v>16.18</v>
      </c>
      <c r="F22" s="92">
        <v>12.27</v>
      </c>
      <c r="G22" s="92">
        <v>13.01</v>
      </c>
      <c r="H22" s="92">
        <v>11.49</v>
      </c>
      <c r="I22" s="92">
        <v>24.16</v>
      </c>
      <c r="J22" s="92">
        <v>12.42</v>
      </c>
      <c r="K22" s="92">
        <v>15.68</v>
      </c>
      <c r="L22" s="92">
        <v>13.75</v>
      </c>
      <c r="M22" s="92">
        <v>34.49</v>
      </c>
      <c r="N22" s="92">
        <v>28.07</v>
      </c>
      <c r="O22" s="88">
        <v>30.47</v>
      </c>
      <c r="P22" s="58">
        <v>24.26</v>
      </c>
    </row>
    <row r="23" spans="1:16" ht="26.4">
      <c r="A23" s="140" t="s">
        <v>3</v>
      </c>
      <c r="B23" s="102" t="s">
        <v>56</v>
      </c>
      <c r="C23" s="103"/>
      <c r="D23" s="105">
        <v>39.67</v>
      </c>
      <c r="E23" s="92">
        <v>69.84</v>
      </c>
      <c r="F23" s="92">
        <v>90.8</v>
      </c>
      <c r="G23" s="92">
        <v>83.82</v>
      </c>
      <c r="H23" s="92">
        <v>92.01</v>
      </c>
      <c r="I23" s="92">
        <v>42.83</v>
      </c>
      <c r="J23" s="92">
        <v>69.14</v>
      </c>
      <c r="K23" s="92">
        <v>57.43</v>
      </c>
      <c r="L23" s="92">
        <v>73.08</v>
      </c>
      <c r="M23" s="92">
        <v>31.14</v>
      </c>
      <c r="N23" s="92">
        <v>42.83</v>
      </c>
      <c r="O23" s="88">
        <v>37.86</v>
      </c>
      <c r="P23" s="58">
        <v>50.02</v>
      </c>
    </row>
    <row r="24" spans="1:16" ht="52.8">
      <c r="A24" s="140" t="s">
        <v>3</v>
      </c>
      <c r="B24" s="102" t="s">
        <v>57</v>
      </c>
      <c r="C24" s="103"/>
      <c r="D24" s="92">
        <v>65.400000000000006</v>
      </c>
      <c r="E24" s="92">
        <v>46.6</v>
      </c>
      <c r="F24" s="92">
        <v>24.4</v>
      </c>
      <c r="G24" s="92">
        <v>27.6</v>
      </c>
      <c r="H24" s="92">
        <v>20</v>
      </c>
      <c r="I24" s="92">
        <v>100.6</v>
      </c>
      <c r="J24" s="92">
        <v>33.6</v>
      </c>
      <c r="K24" s="92">
        <v>69</v>
      </c>
      <c r="L24" s="92">
        <v>27.4</v>
      </c>
      <c r="M24" s="92">
        <v>100.2</v>
      </c>
      <c r="N24" s="92">
        <v>47.8</v>
      </c>
      <c r="O24" s="88">
        <v>60.4</v>
      </c>
      <c r="P24" s="58">
        <v>114</v>
      </c>
    </row>
    <row r="25" spans="1:16" ht="26.4">
      <c r="A25" s="140" t="s">
        <v>3</v>
      </c>
      <c r="B25" s="102" t="s">
        <v>58</v>
      </c>
      <c r="C25" s="103"/>
      <c r="D25" s="92">
        <v>3430</v>
      </c>
      <c r="E25" s="92">
        <v>1941</v>
      </c>
      <c r="F25" s="92">
        <v>1472</v>
      </c>
      <c r="G25" s="92">
        <v>1561</v>
      </c>
      <c r="H25" s="92">
        <v>1379</v>
      </c>
      <c r="I25" s="92">
        <v>2899</v>
      </c>
      <c r="J25" s="92">
        <v>1491</v>
      </c>
      <c r="K25" s="92">
        <v>1882</v>
      </c>
      <c r="L25" s="92">
        <v>1650</v>
      </c>
      <c r="M25" s="92">
        <v>4139</v>
      </c>
      <c r="N25" s="92">
        <v>2105</v>
      </c>
      <c r="O25" s="88">
        <v>3656</v>
      </c>
      <c r="P25" s="58">
        <v>2911</v>
      </c>
    </row>
    <row r="26" spans="1:16" ht="26.4">
      <c r="A26" s="140" t="s">
        <v>3</v>
      </c>
      <c r="B26" s="102" t="s">
        <v>59</v>
      </c>
      <c r="C26" s="103">
        <v>0</v>
      </c>
      <c r="D26" s="92">
        <v>1620</v>
      </c>
      <c r="E26" s="92">
        <v>952</v>
      </c>
      <c r="F26" s="92">
        <v>787</v>
      </c>
      <c r="G26" s="92">
        <v>716</v>
      </c>
      <c r="H26" s="92">
        <v>514</v>
      </c>
      <c r="I26" s="92">
        <v>1345</v>
      </c>
      <c r="J26" s="92">
        <v>305</v>
      </c>
      <c r="K26" s="92">
        <v>444</v>
      </c>
      <c r="L26" s="92">
        <v>344</v>
      </c>
      <c r="M26" s="92">
        <v>1822</v>
      </c>
      <c r="N26" s="92">
        <v>1278</v>
      </c>
      <c r="O26" s="88">
        <v>1883</v>
      </c>
      <c r="P26" s="58">
        <v>1345</v>
      </c>
    </row>
    <row r="27" spans="1:16" ht="26.4">
      <c r="A27" s="140" t="s">
        <v>3</v>
      </c>
      <c r="B27" s="102" t="s">
        <v>60</v>
      </c>
      <c r="C27" s="103"/>
      <c r="D27" s="92">
        <v>136074</v>
      </c>
      <c r="E27" s="92">
        <v>135565</v>
      </c>
      <c r="F27" s="92">
        <v>133663</v>
      </c>
      <c r="G27" s="92">
        <v>130845</v>
      </c>
      <c r="H27" s="92">
        <v>126875</v>
      </c>
      <c r="I27" s="92">
        <v>124155</v>
      </c>
      <c r="J27" s="92">
        <v>103081</v>
      </c>
      <c r="K27" s="92">
        <v>108087</v>
      </c>
      <c r="L27" s="92">
        <v>120577</v>
      </c>
      <c r="M27" s="92">
        <v>128883</v>
      </c>
      <c r="N27" s="92">
        <v>90157</v>
      </c>
      <c r="O27" s="88">
        <v>138401</v>
      </c>
      <c r="P27" s="58">
        <v>145605</v>
      </c>
    </row>
    <row r="28" spans="1:16" ht="26.4">
      <c r="A28" s="140" t="s">
        <v>3</v>
      </c>
      <c r="B28" s="102" t="s">
        <v>61</v>
      </c>
      <c r="C28" s="103">
        <v>10</v>
      </c>
      <c r="D28" s="106">
        <v>331</v>
      </c>
      <c r="E28" s="92">
        <v>315</v>
      </c>
      <c r="F28" s="92">
        <v>321</v>
      </c>
      <c r="G28" s="92">
        <v>321</v>
      </c>
      <c r="H28" s="92">
        <v>310</v>
      </c>
      <c r="I28" s="92">
        <v>303</v>
      </c>
      <c r="J28" s="92">
        <v>320</v>
      </c>
      <c r="K28" s="92">
        <v>304</v>
      </c>
      <c r="L28" s="92">
        <v>296</v>
      </c>
      <c r="M28" s="92">
        <v>285</v>
      </c>
      <c r="N28" s="92">
        <v>282</v>
      </c>
      <c r="O28" s="88">
        <v>303</v>
      </c>
      <c r="P28" s="58">
        <v>289</v>
      </c>
    </row>
    <row r="29" spans="1:16" ht="26.4">
      <c r="A29" s="140" t="s">
        <v>3</v>
      </c>
      <c r="B29" s="102" t="s">
        <v>65</v>
      </c>
      <c r="C29" s="103"/>
      <c r="D29" s="107">
        <v>3</v>
      </c>
      <c r="E29" s="107">
        <v>3</v>
      </c>
      <c r="F29" s="107">
        <v>3</v>
      </c>
      <c r="G29" s="107">
        <v>3</v>
      </c>
      <c r="H29" s="107">
        <v>3</v>
      </c>
      <c r="I29" s="107">
        <v>3</v>
      </c>
      <c r="J29" s="107">
        <v>3</v>
      </c>
      <c r="K29" s="107">
        <v>3</v>
      </c>
      <c r="L29" s="107">
        <v>3</v>
      </c>
      <c r="M29" s="92">
        <v>9</v>
      </c>
      <c r="N29" s="92">
        <v>9</v>
      </c>
      <c r="O29" s="88">
        <v>9</v>
      </c>
      <c r="P29" s="58">
        <v>9</v>
      </c>
    </row>
    <row r="30" spans="1:16" ht="26.4">
      <c r="A30" s="140" t="s">
        <v>3</v>
      </c>
      <c r="B30" s="102" t="s">
        <v>63</v>
      </c>
      <c r="C30" s="103">
        <v>0</v>
      </c>
      <c r="D30" s="92">
        <v>980</v>
      </c>
      <c r="E30" s="92">
        <v>502</v>
      </c>
      <c r="F30" s="92">
        <v>306</v>
      </c>
      <c r="G30" s="92">
        <v>298</v>
      </c>
      <c r="H30" s="92">
        <v>224</v>
      </c>
      <c r="I30" s="92">
        <v>1377</v>
      </c>
      <c r="J30" s="92">
        <v>268</v>
      </c>
      <c r="K30" s="92">
        <v>552</v>
      </c>
      <c r="L30" s="92">
        <v>329</v>
      </c>
      <c r="M30" s="92">
        <v>1638</v>
      </c>
      <c r="N30" s="92">
        <v>452</v>
      </c>
      <c r="O30" s="88">
        <v>1082</v>
      </c>
      <c r="P30" s="58">
        <v>814</v>
      </c>
    </row>
    <row r="31" spans="1:16" ht="26.4">
      <c r="A31" s="156" t="s">
        <v>3</v>
      </c>
      <c r="B31" s="157" t="s">
        <v>64</v>
      </c>
      <c r="C31" s="158"/>
      <c r="D31" s="66">
        <v>146621</v>
      </c>
      <c r="E31" s="66">
        <v>141761</v>
      </c>
      <c r="F31" s="66">
        <v>138504</v>
      </c>
      <c r="G31" s="66">
        <v>135872</v>
      </c>
      <c r="H31" s="66">
        <v>131806</v>
      </c>
      <c r="I31" s="66">
        <v>132336</v>
      </c>
      <c r="J31" s="66">
        <v>108285</v>
      </c>
      <c r="K31" s="66">
        <v>114868</v>
      </c>
      <c r="L31" s="66">
        <v>126851</v>
      </c>
      <c r="M31" s="66">
        <v>141705</v>
      </c>
      <c r="N31" s="66">
        <v>96464</v>
      </c>
      <c r="O31" s="159">
        <v>148877</v>
      </c>
      <c r="P31" s="160">
        <v>154250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08D39-7DAA-482E-8FB1-886CBC0A69D3}">
  <dimension ref="A1:R44"/>
  <sheetViews>
    <sheetView workbookViewId="0"/>
  </sheetViews>
  <sheetFormatPr defaultRowHeight="14.4"/>
  <cols>
    <col min="4" max="12" width="11.21875" customWidth="1"/>
    <col min="13" max="18" width="12.21875" customWidth="1"/>
  </cols>
  <sheetData>
    <row r="1" spans="1:18" ht="15" thickBot="1">
      <c r="A1" s="68" t="s">
        <v>0</v>
      </c>
      <c r="B1" s="68" t="s">
        <v>79</v>
      </c>
      <c r="C1" s="69" t="s">
        <v>67</v>
      </c>
      <c r="D1" s="70" t="s">
        <v>38</v>
      </c>
      <c r="E1" s="70" t="s">
        <v>45</v>
      </c>
      <c r="F1" s="70" t="s">
        <v>46</v>
      </c>
      <c r="G1" s="70" t="s">
        <v>47</v>
      </c>
      <c r="H1" s="70" t="s">
        <v>48</v>
      </c>
      <c r="I1" s="70" t="s">
        <v>49</v>
      </c>
      <c r="J1" s="70" t="s">
        <v>50</v>
      </c>
      <c r="K1" s="70" t="s">
        <v>51</v>
      </c>
      <c r="L1" s="70" t="s">
        <v>52</v>
      </c>
      <c r="M1" s="70" t="s">
        <v>39</v>
      </c>
      <c r="N1" s="70" t="s">
        <v>40</v>
      </c>
      <c r="O1" s="70" t="s">
        <v>41</v>
      </c>
      <c r="P1" s="70" t="s">
        <v>42</v>
      </c>
      <c r="Q1" s="70" t="s">
        <v>43</v>
      </c>
      <c r="R1" s="71" t="s">
        <v>44</v>
      </c>
    </row>
    <row r="2" spans="1:18" ht="57.6">
      <c r="A2" s="108" t="s">
        <v>1</v>
      </c>
      <c r="B2" s="109" t="s">
        <v>80</v>
      </c>
      <c r="C2" s="110" t="s">
        <v>69</v>
      </c>
      <c r="D2" s="111">
        <v>959.82</v>
      </c>
      <c r="E2" s="111">
        <v>861.63</v>
      </c>
      <c r="F2" s="111">
        <v>664.41</v>
      </c>
      <c r="G2" s="111">
        <v>719.18</v>
      </c>
      <c r="H2" s="111">
        <v>540.73</v>
      </c>
      <c r="I2" s="111">
        <v>657.13</v>
      </c>
      <c r="J2" s="111">
        <v>796.16</v>
      </c>
      <c r="K2" s="111">
        <v>806.47</v>
      </c>
      <c r="L2" s="111">
        <v>651.25</v>
      </c>
      <c r="M2" s="111">
        <v>894.11</v>
      </c>
      <c r="N2" s="111">
        <v>741.99</v>
      </c>
      <c r="O2" s="111">
        <v>923.44</v>
      </c>
      <c r="P2" s="111">
        <v>540.73</v>
      </c>
      <c r="Q2" s="111">
        <v>681.76</v>
      </c>
      <c r="R2" s="146">
        <v>562</v>
      </c>
    </row>
    <row r="3" spans="1:18" ht="72">
      <c r="A3" s="112" t="s">
        <v>1</v>
      </c>
      <c r="B3" s="34" t="s">
        <v>81</v>
      </c>
      <c r="C3" s="113" t="s">
        <v>69</v>
      </c>
      <c r="D3" s="111">
        <v>21.751000000000001</v>
      </c>
      <c r="E3" s="111">
        <v>21.677</v>
      </c>
      <c r="F3" s="111">
        <v>22.539000000000001</v>
      </c>
      <c r="G3" s="111">
        <v>24.843</v>
      </c>
      <c r="H3" s="111">
        <v>25.152000000000001</v>
      </c>
      <c r="I3" s="111">
        <v>27.823</v>
      </c>
      <c r="J3" s="111">
        <v>29.779</v>
      </c>
      <c r="K3" s="111">
        <v>31</v>
      </c>
      <c r="L3" s="111">
        <v>31.361000000000001</v>
      </c>
      <c r="M3" s="111">
        <v>30.437000000000001</v>
      </c>
      <c r="N3" s="111">
        <v>28.521000000000001</v>
      </c>
      <c r="O3" s="111">
        <v>28.367999999999999</v>
      </c>
      <c r="P3" s="111">
        <v>25.152000000000001</v>
      </c>
      <c r="Q3" s="111">
        <v>26.321000000000002</v>
      </c>
      <c r="R3" s="146">
        <v>26.317</v>
      </c>
    </row>
    <row r="4" spans="1:18" ht="28.8">
      <c r="A4" s="112" t="s">
        <v>1</v>
      </c>
      <c r="B4" s="34" t="s">
        <v>82</v>
      </c>
      <c r="C4" s="113" t="s">
        <v>69</v>
      </c>
      <c r="D4" s="111">
        <v>0.69799999999999995</v>
      </c>
      <c r="E4" s="111">
        <v>0.73699999999999999</v>
      </c>
      <c r="F4" s="111">
        <v>0.69799999999999995</v>
      </c>
      <c r="G4" s="111">
        <v>0.69799999999999995</v>
      </c>
      <c r="H4" s="111">
        <v>0.69599999999999995</v>
      </c>
      <c r="I4" s="111">
        <v>0.86299999999999999</v>
      </c>
      <c r="J4" s="111">
        <v>1.159</v>
      </c>
      <c r="K4" s="111">
        <v>1.3440000000000001</v>
      </c>
      <c r="L4" s="111">
        <v>0.93700000000000006</v>
      </c>
      <c r="M4" s="111">
        <v>0.79100000000000004</v>
      </c>
      <c r="N4" s="111">
        <v>1.087</v>
      </c>
      <c r="O4" s="111">
        <v>0.57299999999999995</v>
      </c>
      <c r="P4" s="111">
        <v>0.69599999999999995</v>
      </c>
      <c r="Q4" s="111">
        <v>0.57799999999999996</v>
      </c>
      <c r="R4" s="146">
        <v>0.57099999999999995</v>
      </c>
    </row>
    <row r="5" spans="1:18">
      <c r="A5" s="112" t="s">
        <v>1</v>
      </c>
      <c r="B5" s="34" t="s">
        <v>83</v>
      </c>
      <c r="C5" s="113" t="s">
        <v>69</v>
      </c>
      <c r="D5" s="111">
        <v>7.8040000000000003</v>
      </c>
      <c r="E5" s="114">
        <v>0</v>
      </c>
      <c r="F5" s="115">
        <v>0</v>
      </c>
      <c r="G5" s="111">
        <v>6.819</v>
      </c>
      <c r="H5" s="111">
        <v>0.01</v>
      </c>
      <c r="I5" s="111">
        <v>0</v>
      </c>
      <c r="J5" s="111">
        <v>6.6289999999999996</v>
      </c>
      <c r="K5" s="111">
        <v>7.3209999999999997</v>
      </c>
      <c r="L5" s="111">
        <v>8.2989999999999995</v>
      </c>
      <c r="M5" s="111">
        <v>0</v>
      </c>
      <c r="N5" s="111">
        <v>43.488999999999997</v>
      </c>
      <c r="O5" s="111">
        <v>67.882000000000005</v>
      </c>
      <c r="P5" s="111">
        <v>0.01</v>
      </c>
      <c r="Q5" s="111">
        <v>68.905000000000001</v>
      </c>
      <c r="R5" s="146">
        <v>63.209000000000003</v>
      </c>
    </row>
    <row r="6" spans="1:18" ht="28.8">
      <c r="A6" s="112" t="s">
        <v>1</v>
      </c>
      <c r="B6" s="34" t="s">
        <v>84</v>
      </c>
      <c r="C6" s="113" t="s">
        <v>69</v>
      </c>
      <c r="D6" s="111">
        <v>31.071999999999999</v>
      </c>
      <c r="E6" s="111">
        <v>31.654</v>
      </c>
      <c r="F6" s="111">
        <v>30.498999999999999</v>
      </c>
      <c r="G6" s="111">
        <v>23.998000000000001</v>
      </c>
      <c r="H6" s="111">
        <v>24.177</v>
      </c>
      <c r="I6" s="111">
        <v>19.332000000000001</v>
      </c>
      <c r="J6" s="111">
        <v>24.22</v>
      </c>
      <c r="K6" s="111">
        <v>22.652000000000001</v>
      </c>
      <c r="L6" s="111">
        <v>23.462</v>
      </c>
      <c r="M6" s="111">
        <v>23.088999999999999</v>
      </c>
      <c r="N6" s="111">
        <v>18.675000000000001</v>
      </c>
      <c r="O6" s="111">
        <v>24.888999999999999</v>
      </c>
      <c r="P6" s="111">
        <v>24.177</v>
      </c>
      <c r="Q6" s="111">
        <v>22.027000000000001</v>
      </c>
      <c r="R6" s="146">
        <v>23.132999999999999</v>
      </c>
    </row>
    <row r="7" spans="1:18" ht="43.2">
      <c r="A7" s="112" t="s">
        <v>1</v>
      </c>
      <c r="B7" s="34" t="s">
        <v>85</v>
      </c>
      <c r="C7" s="113" t="s">
        <v>69</v>
      </c>
      <c r="D7" s="111">
        <v>2.4</v>
      </c>
      <c r="E7" s="116">
        <v>2.4</v>
      </c>
      <c r="F7" s="111">
        <v>2.4</v>
      </c>
      <c r="G7" s="111">
        <v>2.4</v>
      </c>
      <c r="H7" s="111">
        <v>2.4</v>
      </c>
      <c r="I7" s="111">
        <v>2.4</v>
      </c>
      <c r="J7" s="111">
        <v>2.4</v>
      </c>
      <c r="K7" s="111">
        <v>3.2519999999999998</v>
      </c>
      <c r="L7" s="111">
        <v>4.1890000000000001</v>
      </c>
      <c r="M7" s="111">
        <v>2.4</v>
      </c>
      <c r="N7" s="111">
        <v>2.4</v>
      </c>
      <c r="O7" s="111">
        <v>4.5940000000000003</v>
      </c>
      <c r="P7" s="111">
        <v>2.4</v>
      </c>
      <c r="Q7" s="111">
        <v>3.1920000000000002</v>
      </c>
      <c r="R7" s="147">
        <v>2.4</v>
      </c>
    </row>
    <row r="8" spans="1:18" ht="86.4">
      <c r="A8" s="112" t="s">
        <v>1</v>
      </c>
      <c r="B8" s="34" t="s">
        <v>86</v>
      </c>
      <c r="C8" s="113" t="s">
        <v>87</v>
      </c>
      <c r="D8" s="111">
        <v>78</v>
      </c>
      <c r="E8" s="117">
        <v>78</v>
      </c>
      <c r="F8" s="111">
        <v>82</v>
      </c>
      <c r="G8" s="111">
        <v>88</v>
      </c>
      <c r="H8" s="111">
        <v>90</v>
      </c>
      <c r="I8" s="111">
        <v>101</v>
      </c>
      <c r="J8" s="111">
        <v>108</v>
      </c>
      <c r="K8" s="118">
        <v>112</v>
      </c>
      <c r="L8" s="118">
        <v>114</v>
      </c>
      <c r="M8" s="118">
        <v>109</v>
      </c>
      <c r="N8" s="118">
        <v>98</v>
      </c>
      <c r="O8" s="118">
        <v>94</v>
      </c>
      <c r="P8" s="111">
        <v>90</v>
      </c>
      <c r="Q8" s="111">
        <v>86</v>
      </c>
      <c r="R8" s="146">
        <v>84</v>
      </c>
    </row>
    <row r="9" spans="1:18" ht="28.8">
      <c r="A9" s="112" t="s">
        <v>1</v>
      </c>
      <c r="B9" s="34" t="s">
        <v>88</v>
      </c>
      <c r="C9" s="113" t="s">
        <v>69</v>
      </c>
      <c r="D9" s="111">
        <v>39.414999999999999</v>
      </c>
      <c r="E9" s="116">
        <v>36.058999999999997</v>
      </c>
      <c r="F9" s="111">
        <v>35.524000000000001</v>
      </c>
      <c r="G9" s="111">
        <v>35.155999999999999</v>
      </c>
      <c r="H9" s="111">
        <v>33.005000000000003</v>
      </c>
      <c r="I9" s="111">
        <v>34.920999999999999</v>
      </c>
      <c r="J9" s="111">
        <v>37.665999999999997</v>
      </c>
      <c r="K9" s="111">
        <v>31.986999999999998</v>
      </c>
      <c r="L9" s="111">
        <v>29.597999999999999</v>
      </c>
      <c r="M9" s="111">
        <v>27.521000000000001</v>
      </c>
      <c r="N9" s="111">
        <v>29.774000000000001</v>
      </c>
      <c r="O9" s="111">
        <v>27.76</v>
      </c>
      <c r="P9" s="111">
        <v>33.005000000000003</v>
      </c>
      <c r="Q9" s="111">
        <v>30.949000000000002</v>
      </c>
      <c r="R9" s="146">
        <v>33.052999999999997</v>
      </c>
    </row>
    <row r="10" spans="1:18">
      <c r="A10" s="112" t="s">
        <v>1</v>
      </c>
      <c r="B10" s="34" t="s">
        <v>89</v>
      </c>
      <c r="C10" s="113" t="s">
        <v>69</v>
      </c>
      <c r="D10" s="111">
        <v>0</v>
      </c>
      <c r="E10" s="116">
        <v>0</v>
      </c>
      <c r="F10" s="111">
        <v>0</v>
      </c>
      <c r="G10" s="111">
        <v>0</v>
      </c>
      <c r="H10" s="111">
        <v>0</v>
      </c>
      <c r="I10" s="111">
        <v>0</v>
      </c>
      <c r="J10" s="111">
        <v>0</v>
      </c>
      <c r="K10" s="111">
        <v>0</v>
      </c>
      <c r="L10" s="111">
        <v>0</v>
      </c>
      <c r="M10" s="111">
        <v>0</v>
      </c>
      <c r="N10" s="111">
        <v>0</v>
      </c>
      <c r="O10" s="111">
        <v>0</v>
      </c>
      <c r="P10" s="111">
        <v>0</v>
      </c>
      <c r="Q10" s="111">
        <v>0</v>
      </c>
      <c r="R10" s="146">
        <v>0</v>
      </c>
    </row>
    <row r="11" spans="1:18" ht="28.8">
      <c r="A11" s="112" t="s">
        <v>1</v>
      </c>
      <c r="B11" s="34" t="s">
        <v>90</v>
      </c>
      <c r="C11" s="113" t="s">
        <v>69</v>
      </c>
      <c r="D11" s="111">
        <v>775</v>
      </c>
      <c r="E11" s="117">
        <v>782</v>
      </c>
      <c r="F11" s="111">
        <v>785</v>
      </c>
      <c r="G11" s="111">
        <v>813</v>
      </c>
      <c r="H11" s="111">
        <v>860</v>
      </c>
      <c r="I11" s="111">
        <v>879</v>
      </c>
      <c r="J11" s="111">
        <v>923</v>
      </c>
      <c r="K11" s="111">
        <v>932</v>
      </c>
      <c r="L11" s="111">
        <v>990</v>
      </c>
      <c r="M11" s="111">
        <v>1019</v>
      </c>
      <c r="N11" s="111">
        <v>906</v>
      </c>
      <c r="O11" s="111">
        <v>897</v>
      </c>
      <c r="P11" s="111">
        <v>860</v>
      </c>
      <c r="Q11" s="111">
        <v>872</v>
      </c>
      <c r="R11" s="146">
        <v>825</v>
      </c>
    </row>
    <row r="12" spans="1:18" ht="28.8">
      <c r="A12" s="112" t="s">
        <v>1</v>
      </c>
      <c r="B12" s="34" t="s">
        <v>91</v>
      </c>
      <c r="C12" s="113" t="s">
        <v>92</v>
      </c>
      <c r="D12" s="111">
        <v>32</v>
      </c>
      <c r="E12" s="117">
        <v>32</v>
      </c>
      <c r="F12" s="111">
        <v>36</v>
      </c>
      <c r="G12" s="111">
        <v>35</v>
      </c>
      <c r="H12" s="111">
        <v>36</v>
      </c>
      <c r="I12" s="111">
        <v>38</v>
      </c>
      <c r="J12" s="111">
        <v>39</v>
      </c>
      <c r="K12" s="111">
        <v>37</v>
      </c>
      <c r="L12" s="111">
        <v>43</v>
      </c>
      <c r="M12" s="111">
        <v>37</v>
      </c>
      <c r="N12" s="111">
        <v>39</v>
      </c>
      <c r="O12" s="111">
        <v>36</v>
      </c>
      <c r="P12" s="111">
        <v>36</v>
      </c>
      <c r="Q12" s="111">
        <v>35.5</v>
      </c>
      <c r="R12" s="146">
        <v>36</v>
      </c>
    </row>
    <row r="13" spans="1:18" ht="28.8">
      <c r="A13" s="112" t="s">
        <v>1</v>
      </c>
      <c r="B13" s="34" t="s">
        <v>93</v>
      </c>
      <c r="C13" s="113" t="s">
        <v>92</v>
      </c>
      <c r="D13" s="111">
        <v>32</v>
      </c>
      <c r="E13" s="111">
        <v>32</v>
      </c>
      <c r="F13" s="111">
        <v>35</v>
      </c>
      <c r="G13" s="111">
        <v>34</v>
      </c>
      <c r="H13" s="111">
        <v>36</v>
      </c>
      <c r="I13" s="111">
        <v>40</v>
      </c>
      <c r="J13" s="111">
        <v>38</v>
      </c>
      <c r="K13" s="111">
        <v>40</v>
      </c>
      <c r="L13" s="111">
        <v>36.5</v>
      </c>
      <c r="M13" s="111">
        <v>36.5</v>
      </c>
      <c r="N13" s="111">
        <v>40</v>
      </c>
      <c r="O13" s="118">
        <v>36</v>
      </c>
      <c r="P13" s="111">
        <v>36</v>
      </c>
      <c r="Q13" s="111">
        <v>36</v>
      </c>
      <c r="R13" s="146">
        <v>35</v>
      </c>
    </row>
    <row r="14" spans="1:18" ht="43.2">
      <c r="A14" s="112" t="s">
        <v>1</v>
      </c>
      <c r="B14" s="34" t="s">
        <v>94</v>
      </c>
      <c r="C14" s="113" t="s">
        <v>95</v>
      </c>
      <c r="D14" s="111">
        <v>0</v>
      </c>
      <c r="E14" s="111">
        <v>0</v>
      </c>
      <c r="F14" s="111">
        <v>0</v>
      </c>
      <c r="G14" s="111">
        <v>0</v>
      </c>
      <c r="H14" s="111">
        <v>0</v>
      </c>
      <c r="I14" s="111">
        <v>0</v>
      </c>
      <c r="J14" s="111">
        <v>0</v>
      </c>
      <c r="K14" s="111">
        <v>0</v>
      </c>
      <c r="L14" s="111">
        <v>0</v>
      </c>
      <c r="M14" s="111">
        <v>0</v>
      </c>
      <c r="N14" s="111">
        <v>0</v>
      </c>
      <c r="O14" s="111">
        <v>0</v>
      </c>
      <c r="P14" s="111">
        <v>0</v>
      </c>
      <c r="Q14" s="111">
        <v>0</v>
      </c>
      <c r="R14" s="146">
        <v>0</v>
      </c>
    </row>
    <row r="15" spans="1:18" ht="57.6">
      <c r="A15" s="112" t="s">
        <v>1</v>
      </c>
      <c r="B15" s="119" t="s">
        <v>96</v>
      </c>
      <c r="C15" s="113" t="s">
        <v>95</v>
      </c>
      <c r="D15" s="111">
        <v>0</v>
      </c>
      <c r="E15" s="111">
        <v>0</v>
      </c>
      <c r="F15" s="111">
        <v>0</v>
      </c>
      <c r="G15" s="111">
        <v>0</v>
      </c>
      <c r="H15" s="111">
        <v>0</v>
      </c>
      <c r="I15" s="111">
        <v>0</v>
      </c>
      <c r="J15" s="111">
        <v>0</v>
      </c>
      <c r="K15" s="111">
        <v>0</v>
      </c>
      <c r="L15" s="111">
        <v>0</v>
      </c>
      <c r="M15" s="111">
        <v>0</v>
      </c>
      <c r="N15" s="111">
        <v>0</v>
      </c>
      <c r="O15" s="111">
        <v>0</v>
      </c>
      <c r="P15" s="111">
        <v>0</v>
      </c>
      <c r="Q15" s="111">
        <v>0</v>
      </c>
      <c r="R15" s="146">
        <v>0</v>
      </c>
    </row>
    <row r="16" spans="1:18" ht="29.4" thickBot="1">
      <c r="A16" s="120" t="s">
        <v>1</v>
      </c>
      <c r="B16" s="121" t="s">
        <v>97</v>
      </c>
      <c r="C16" s="122" t="s">
        <v>69</v>
      </c>
      <c r="D16" s="111">
        <v>760</v>
      </c>
      <c r="E16" s="111">
        <v>790</v>
      </c>
      <c r="F16" s="111">
        <v>810</v>
      </c>
      <c r="G16" s="111">
        <v>800</v>
      </c>
      <c r="H16" s="111">
        <v>860</v>
      </c>
      <c r="I16" s="111">
        <v>865</v>
      </c>
      <c r="J16" s="111">
        <v>970</v>
      </c>
      <c r="K16" s="111">
        <v>935</v>
      </c>
      <c r="L16" s="111">
        <v>930</v>
      </c>
      <c r="M16" s="111">
        <v>900</v>
      </c>
      <c r="N16" s="111">
        <v>890</v>
      </c>
      <c r="O16" s="111">
        <v>915</v>
      </c>
      <c r="P16" s="111">
        <v>860</v>
      </c>
      <c r="Q16" s="111">
        <v>840</v>
      </c>
      <c r="R16" s="146">
        <v>830</v>
      </c>
    </row>
    <row r="17" spans="1:18" ht="43.2">
      <c r="A17" s="123" t="s">
        <v>2</v>
      </c>
      <c r="B17" s="124" t="s">
        <v>98</v>
      </c>
      <c r="C17" s="125" t="s">
        <v>69</v>
      </c>
      <c r="D17" s="42">
        <v>791</v>
      </c>
      <c r="E17" s="42">
        <v>722</v>
      </c>
      <c r="F17" s="42">
        <v>732</v>
      </c>
      <c r="G17" s="42">
        <v>750</v>
      </c>
      <c r="H17" s="42">
        <v>836</v>
      </c>
      <c r="I17" s="42">
        <v>856</v>
      </c>
      <c r="J17" s="42">
        <v>950</v>
      </c>
      <c r="K17" s="42">
        <v>732</v>
      </c>
      <c r="L17" s="42">
        <v>996</v>
      </c>
      <c r="M17" s="42">
        <v>795</v>
      </c>
      <c r="N17" s="42">
        <v>194</v>
      </c>
      <c r="O17" s="42">
        <v>821</v>
      </c>
      <c r="P17" s="42">
        <v>884</v>
      </c>
      <c r="Q17" s="42">
        <v>910</v>
      </c>
      <c r="R17" s="50">
        <v>926</v>
      </c>
    </row>
    <row r="18" spans="1:18" ht="57.6">
      <c r="A18" s="126" t="s">
        <v>2</v>
      </c>
      <c r="B18" s="97" t="s">
        <v>80</v>
      </c>
      <c r="C18" s="127" t="s">
        <v>69</v>
      </c>
      <c r="D18" s="42">
        <v>0</v>
      </c>
      <c r="E18" s="42">
        <v>0</v>
      </c>
      <c r="F18" s="42">
        <v>0</v>
      </c>
      <c r="G18" s="42">
        <v>0</v>
      </c>
      <c r="H18" s="42">
        <v>0</v>
      </c>
      <c r="I18" s="42">
        <v>0</v>
      </c>
      <c r="J18" s="42">
        <v>0</v>
      </c>
      <c r="K18" s="42">
        <v>0</v>
      </c>
      <c r="L18" s="42">
        <v>1</v>
      </c>
      <c r="M18" s="42">
        <v>0</v>
      </c>
      <c r="N18" s="42">
        <v>0</v>
      </c>
      <c r="O18" s="42">
        <v>0</v>
      </c>
      <c r="P18" s="42">
        <v>117</v>
      </c>
      <c r="Q18" s="42">
        <v>116</v>
      </c>
      <c r="R18" s="50">
        <v>122</v>
      </c>
    </row>
    <row r="19" spans="1:18" ht="43.2">
      <c r="A19" s="126" t="s">
        <v>2</v>
      </c>
      <c r="B19" s="97" t="s">
        <v>99</v>
      </c>
      <c r="C19" s="127" t="s">
        <v>69</v>
      </c>
      <c r="D19" s="42">
        <v>7.0999999999999994E-2</v>
      </c>
      <c r="E19" s="42">
        <v>6.8000000000000005E-2</v>
      </c>
      <c r="F19" s="42">
        <v>6.8000000000000005E-2</v>
      </c>
      <c r="G19" s="42">
        <v>6.7000000000000004E-2</v>
      </c>
      <c r="H19" s="42">
        <v>9.4E-2</v>
      </c>
      <c r="I19" s="42">
        <v>0.107</v>
      </c>
      <c r="J19" s="42">
        <v>0.104</v>
      </c>
      <c r="K19" s="42">
        <v>6.8000000000000005E-2</v>
      </c>
      <c r="L19" s="42">
        <v>0.11799999999999999</v>
      </c>
      <c r="M19" s="42">
        <v>9.6000000000000002E-2</v>
      </c>
      <c r="N19" s="42">
        <v>5.8999999999999997E-2</v>
      </c>
      <c r="O19" s="42">
        <v>0.11</v>
      </c>
      <c r="P19" s="42">
        <v>0.99</v>
      </c>
      <c r="Q19" s="42">
        <v>0.27300000000000002</v>
      </c>
      <c r="R19" s="50">
        <v>0.309</v>
      </c>
    </row>
    <row r="20" spans="1:18" ht="28.8">
      <c r="A20" s="126" t="s">
        <v>2</v>
      </c>
      <c r="B20" s="97" t="s">
        <v>100</v>
      </c>
      <c r="C20" s="127" t="s">
        <v>69</v>
      </c>
      <c r="D20" s="42">
        <v>0</v>
      </c>
      <c r="E20" s="42">
        <v>0</v>
      </c>
      <c r="F20" s="42">
        <v>0</v>
      </c>
      <c r="G20" s="42">
        <v>0</v>
      </c>
      <c r="H20" s="42">
        <v>0</v>
      </c>
      <c r="I20" s="42">
        <v>0</v>
      </c>
      <c r="J20" s="42">
        <v>0</v>
      </c>
      <c r="K20" s="42">
        <v>0</v>
      </c>
      <c r="L20" s="42">
        <v>0</v>
      </c>
      <c r="M20" s="42">
        <v>16</v>
      </c>
      <c r="N20" s="42">
        <v>14</v>
      </c>
      <c r="O20" s="42">
        <v>16</v>
      </c>
      <c r="P20" s="42">
        <v>0</v>
      </c>
      <c r="Q20" s="42">
        <v>0</v>
      </c>
      <c r="R20" s="50">
        <v>0</v>
      </c>
    </row>
    <row r="21" spans="1:18" ht="43.2">
      <c r="A21" s="126" t="s">
        <v>2</v>
      </c>
      <c r="B21" s="97" t="s">
        <v>101</v>
      </c>
      <c r="C21" s="127" t="s">
        <v>69</v>
      </c>
      <c r="D21" s="42">
        <v>39.1</v>
      </c>
      <c r="E21" s="42">
        <v>38.299999999999997</v>
      </c>
      <c r="F21" s="42">
        <v>38.5</v>
      </c>
      <c r="G21" s="128">
        <v>38.700000000000003</v>
      </c>
      <c r="H21" s="42">
        <v>40.4</v>
      </c>
      <c r="I21" s="42">
        <v>40.700000000000003</v>
      </c>
      <c r="J21" s="42">
        <v>42.5</v>
      </c>
      <c r="K21" s="42">
        <v>38.5</v>
      </c>
      <c r="L21" s="41">
        <v>42.8</v>
      </c>
      <c r="M21" s="42">
        <v>41</v>
      </c>
      <c r="N21" s="42">
        <v>15.7</v>
      </c>
      <c r="O21" s="42">
        <v>15.7</v>
      </c>
      <c r="P21" s="42">
        <v>38.6</v>
      </c>
      <c r="Q21" s="42">
        <v>40.4</v>
      </c>
      <c r="R21" s="50">
        <v>42</v>
      </c>
    </row>
    <row r="22" spans="1:18" ht="43.2">
      <c r="A22" s="126" t="s">
        <v>2</v>
      </c>
      <c r="B22" s="97" t="s">
        <v>102</v>
      </c>
      <c r="C22" s="127" t="s">
        <v>69</v>
      </c>
      <c r="D22" s="42">
        <f t="shared" ref="D22:R22" si="0">D17-D20</f>
        <v>791</v>
      </c>
      <c r="E22" s="42">
        <f t="shared" si="0"/>
        <v>722</v>
      </c>
      <c r="F22" s="42">
        <f t="shared" si="0"/>
        <v>732</v>
      </c>
      <c r="G22" s="42">
        <f t="shared" si="0"/>
        <v>750</v>
      </c>
      <c r="H22" s="42">
        <f t="shared" si="0"/>
        <v>836</v>
      </c>
      <c r="I22" s="42">
        <f t="shared" si="0"/>
        <v>856</v>
      </c>
      <c r="J22" s="42">
        <f t="shared" si="0"/>
        <v>950</v>
      </c>
      <c r="K22" s="42">
        <f t="shared" si="0"/>
        <v>732</v>
      </c>
      <c r="L22" s="42">
        <f t="shared" si="0"/>
        <v>996</v>
      </c>
      <c r="M22" s="42">
        <f t="shared" si="0"/>
        <v>779</v>
      </c>
      <c r="N22" s="42">
        <f t="shared" si="0"/>
        <v>180</v>
      </c>
      <c r="O22" s="42">
        <f t="shared" si="0"/>
        <v>805</v>
      </c>
      <c r="P22" s="42">
        <f t="shared" si="0"/>
        <v>884</v>
      </c>
      <c r="Q22" s="42">
        <f t="shared" si="0"/>
        <v>910</v>
      </c>
      <c r="R22" s="50">
        <f t="shared" si="0"/>
        <v>926</v>
      </c>
    </row>
    <row r="23" spans="1:18" ht="57.6">
      <c r="A23" s="126" t="s">
        <v>2</v>
      </c>
      <c r="B23" s="97" t="s">
        <v>103</v>
      </c>
      <c r="C23" s="127" t="s">
        <v>104</v>
      </c>
      <c r="D23" s="42">
        <v>16.059999999999999</v>
      </c>
      <c r="E23" s="42">
        <v>13.94</v>
      </c>
      <c r="F23" s="42">
        <v>14.12</v>
      </c>
      <c r="G23" s="42">
        <v>14.57</v>
      </c>
      <c r="H23" s="42">
        <v>14.57</v>
      </c>
      <c r="I23" s="42">
        <v>15.76</v>
      </c>
      <c r="J23" s="42">
        <v>19.89</v>
      </c>
      <c r="K23" s="42">
        <v>14.12</v>
      </c>
      <c r="L23" s="42">
        <v>21.51</v>
      </c>
      <c r="M23" s="42">
        <v>16.57</v>
      </c>
      <c r="N23" s="42">
        <v>5.69</v>
      </c>
      <c r="O23" s="42">
        <v>20.05</v>
      </c>
      <c r="P23" s="42">
        <v>23.99</v>
      </c>
      <c r="Q23" s="42">
        <v>21.41</v>
      </c>
      <c r="R23" s="50">
        <v>21.26</v>
      </c>
    </row>
    <row r="24" spans="1:18" ht="28.8">
      <c r="A24" s="126" t="s">
        <v>2</v>
      </c>
      <c r="B24" s="97" t="s">
        <v>105</v>
      </c>
      <c r="C24" s="127" t="s">
        <v>69</v>
      </c>
      <c r="D24" s="42">
        <v>752</v>
      </c>
      <c r="E24" s="42">
        <v>684</v>
      </c>
      <c r="F24" s="42">
        <v>694</v>
      </c>
      <c r="G24" s="42">
        <v>711</v>
      </c>
      <c r="H24" s="42">
        <v>796</v>
      </c>
      <c r="I24" s="42">
        <v>815</v>
      </c>
      <c r="J24" s="42">
        <v>908</v>
      </c>
      <c r="K24" s="42">
        <v>694</v>
      </c>
      <c r="L24" s="42">
        <v>954</v>
      </c>
      <c r="M24" s="42">
        <v>702</v>
      </c>
      <c r="N24" s="42">
        <v>124</v>
      </c>
      <c r="O24" s="42">
        <v>769</v>
      </c>
      <c r="P24" s="42">
        <v>962</v>
      </c>
      <c r="Q24" s="42">
        <v>986</v>
      </c>
      <c r="R24" s="50">
        <v>1006</v>
      </c>
    </row>
    <row r="25" spans="1:18" ht="28.8">
      <c r="A25" s="126" t="s">
        <v>2</v>
      </c>
      <c r="B25" s="97" t="s">
        <v>91</v>
      </c>
      <c r="C25" s="127" t="s">
        <v>92</v>
      </c>
      <c r="D25" s="42">
        <v>31.3</v>
      </c>
      <c r="E25" s="42">
        <v>28.5</v>
      </c>
      <c r="F25" s="41">
        <v>28.916666666666668</v>
      </c>
      <c r="G25" s="42">
        <v>29.625</v>
      </c>
      <c r="H25" s="41">
        <v>33.166666666666664</v>
      </c>
      <c r="I25" s="41">
        <v>33.958333333333336</v>
      </c>
      <c r="J25" s="41">
        <v>37.833333333333336</v>
      </c>
      <c r="K25" s="41">
        <v>28.916666666666668</v>
      </c>
      <c r="L25" s="42">
        <v>39.75</v>
      </c>
      <c r="M25" s="42">
        <v>38</v>
      </c>
      <c r="N25" s="41">
        <v>20.533333333333335</v>
      </c>
      <c r="O25" s="51">
        <v>32.041666666666664</v>
      </c>
      <c r="P25" s="41">
        <v>40.083333333333336</v>
      </c>
      <c r="Q25" s="41">
        <v>41.083333333333336</v>
      </c>
      <c r="R25" s="50">
        <v>42</v>
      </c>
    </row>
    <row r="26" spans="1:18" ht="28.8">
      <c r="A26" s="126" t="s">
        <v>2</v>
      </c>
      <c r="B26" s="97" t="s">
        <v>93</v>
      </c>
      <c r="C26" s="127" t="s">
        <v>92</v>
      </c>
      <c r="D26" s="41">
        <v>30.958333333333332</v>
      </c>
      <c r="E26" s="41">
        <v>28.208333333333332</v>
      </c>
      <c r="F26" s="41">
        <v>28.791666666666668</v>
      </c>
      <c r="G26" s="42">
        <v>29.5</v>
      </c>
      <c r="H26" s="42">
        <v>33</v>
      </c>
      <c r="I26" s="41">
        <v>34.208333333333336</v>
      </c>
      <c r="J26" s="42">
        <v>37.25</v>
      </c>
      <c r="K26" s="41">
        <v>28.791666666666668</v>
      </c>
      <c r="L26" s="42">
        <v>40</v>
      </c>
      <c r="M26" s="41">
        <v>38.374596340150703</v>
      </c>
      <c r="N26" s="42">
        <v>0</v>
      </c>
      <c r="O26" s="51">
        <v>34.208333333333336</v>
      </c>
      <c r="P26" s="41">
        <v>39.583333333333336</v>
      </c>
      <c r="Q26" s="41">
        <v>40.291666666666664</v>
      </c>
      <c r="R26" s="50">
        <v>40</v>
      </c>
    </row>
    <row r="27" spans="1:18" ht="43.2">
      <c r="A27" s="126" t="s">
        <v>2</v>
      </c>
      <c r="B27" s="97" t="s">
        <v>94</v>
      </c>
      <c r="C27" s="127" t="s">
        <v>95</v>
      </c>
      <c r="D27" s="42">
        <v>0</v>
      </c>
      <c r="E27" s="42">
        <v>0</v>
      </c>
      <c r="F27" s="42">
        <v>0</v>
      </c>
      <c r="G27" s="42">
        <v>0</v>
      </c>
      <c r="H27" s="42">
        <v>0</v>
      </c>
      <c r="I27" s="42">
        <v>0</v>
      </c>
      <c r="J27" s="42">
        <v>0</v>
      </c>
      <c r="K27" s="42">
        <v>0</v>
      </c>
      <c r="L27" s="42">
        <v>0</v>
      </c>
      <c r="M27" s="42">
        <v>5.42</v>
      </c>
      <c r="N27" s="41">
        <v>24</v>
      </c>
      <c r="O27" s="42">
        <v>0</v>
      </c>
      <c r="P27" s="42">
        <v>0</v>
      </c>
      <c r="Q27" s="42">
        <v>0</v>
      </c>
      <c r="R27" s="50">
        <v>0</v>
      </c>
    </row>
    <row r="28" spans="1:18" ht="57.6">
      <c r="A28" s="129" t="s">
        <v>2</v>
      </c>
      <c r="B28" s="130" t="s">
        <v>96</v>
      </c>
      <c r="C28" s="127" t="s">
        <v>95</v>
      </c>
      <c r="D28" s="42">
        <v>0</v>
      </c>
      <c r="E28" s="42">
        <v>0</v>
      </c>
      <c r="F28" s="42">
        <v>0</v>
      </c>
      <c r="G28" s="42">
        <v>0</v>
      </c>
      <c r="H28" s="42">
        <v>0</v>
      </c>
      <c r="I28" s="42">
        <v>0</v>
      </c>
      <c r="J28" s="42">
        <v>0</v>
      </c>
      <c r="K28" s="42">
        <v>0</v>
      </c>
      <c r="L28" s="42">
        <v>0</v>
      </c>
      <c r="M28" s="42">
        <v>6.67</v>
      </c>
      <c r="N28" s="41">
        <v>16.5</v>
      </c>
      <c r="O28" s="42">
        <v>0</v>
      </c>
      <c r="P28" s="42">
        <v>0</v>
      </c>
      <c r="Q28" s="42">
        <v>0</v>
      </c>
      <c r="R28" s="50">
        <v>0</v>
      </c>
    </row>
    <row r="29" spans="1:18" ht="15" thickBot="1">
      <c r="A29" s="131" t="s">
        <v>2</v>
      </c>
      <c r="B29" s="132" t="s">
        <v>106</v>
      </c>
      <c r="C29" s="133" t="s">
        <v>69</v>
      </c>
      <c r="D29" s="42">
        <v>743</v>
      </c>
      <c r="E29" s="42">
        <v>677</v>
      </c>
      <c r="F29" s="42">
        <v>691</v>
      </c>
      <c r="G29" s="42">
        <v>708</v>
      </c>
      <c r="H29" s="42">
        <v>792</v>
      </c>
      <c r="I29" s="42">
        <v>821</v>
      </c>
      <c r="J29" s="42">
        <v>894</v>
      </c>
      <c r="K29" s="42">
        <v>691</v>
      </c>
      <c r="L29" s="42">
        <v>960</v>
      </c>
      <c r="M29" s="42">
        <v>713</v>
      </c>
      <c r="N29" s="42">
        <v>0</v>
      </c>
      <c r="O29" s="42">
        <v>821</v>
      </c>
      <c r="P29" s="42">
        <v>950</v>
      </c>
      <c r="Q29" s="42">
        <v>967</v>
      </c>
      <c r="R29" s="50">
        <v>969</v>
      </c>
    </row>
    <row r="30" spans="1:18" ht="57.6">
      <c r="A30" s="134" t="s">
        <v>3</v>
      </c>
      <c r="B30" s="135" t="s">
        <v>80</v>
      </c>
      <c r="C30" s="136" t="s">
        <v>69</v>
      </c>
      <c r="D30" s="55">
        <v>837</v>
      </c>
      <c r="E30" s="55">
        <v>836</v>
      </c>
      <c r="F30" s="55">
        <v>744</v>
      </c>
      <c r="G30" s="55">
        <v>881</v>
      </c>
      <c r="H30" s="55">
        <v>888</v>
      </c>
      <c r="I30" s="55">
        <v>897</v>
      </c>
      <c r="J30" s="55">
        <v>908</v>
      </c>
      <c r="K30" s="55">
        <v>837</v>
      </c>
      <c r="L30" s="55">
        <v>915</v>
      </c>
      <c r="M30" s="55">
        <v>890</v>
      </c>
      <c r="N30" s="55">
        <v>910</v>
      </c>
      <c r="O30" s="55">
        <v>938</v>
      </c>
      <c r="P30" s="55">
        <v>885</v>
      </c>
      <c r="Q30" s="55">
        <v>928</v>
      </c>
      <c r="R30" s="58">
        <v>913</v>
      </c>
    </row>
    <row r="31" spans="1:18" ht="28.8">
      <c r="A31" s="137" t="s">
        <v>3</v>
      </c>
      <c r="B31" s="101" t="s">
        <v>107</v>
      </c>
      <c r="C31" s="138" t="s">
        <v>69</v>
      </c>
      <c r="D31" s="55">
        <v>0.435</v>
      </c>
      <c r="E31" s="55">
        <v>0.39300000000000002</v>
      </c>
      <c r="F31" s="55">
        <v>0.53500000000000003</v>
      </c>
      <c r="G31" s="55">
        <v>0.59499999999999997</v>
      </c>
      <c r="H31" s="55">
        <v>0.59499999999999997</v>
      </c>
      <c r="I31" s="55">
        <v>0.60199999999999998</v>
      </c>
      <c r="J31" s="55">
        <v>0.60399999999999998</v>
      </c>
      <c r="K31" s="55">
        <v>0.435</v>
      </c>
      <c r="L31" s="55">
        <v>0.60199999999999998</v>
      </c>
      <c r="M31" s="55">
        <v>0.58499999999999996</v>
      </c>
      <c r="N31" s="55">
        <v>0.63100000000000001</v>
      </c>
      <c r="O31" s="55">
        <v>0.63500000000000001</v>
      </c>
      <c r="P31" s="55">
        <v>0.83099999999999996</v>
      </c>
      <c r="Q31" s="55">
        <v>0.78800000000000003</v>
      </c>
      <c r="R31" s="58">
        <v>0.64100000000000001</v>
      </c>
    </row>
    <row r="32" spans="1:18" ht="28.8">
      <c r="A32" s="137" t="s">
        <v>3</v>
      </c>
      <c r="B32" s="101" t="s">
        <v>108</v>
      </c>
      <c r="C32" s="138" t="s">
        <v>69</v>
      </c>
      <c r="D32" s="55">
        <v>1.24</v>
      </c>
      <c r="E32" s="55">
        <v>1.22</v>
      </c>
      <c r="F32" s="139">
        <v>0.8</v>
      </c>
      <c r="G32" s="55">
        <v>1.58</v>
      </c>
      <c r="H32" s="55">
        <v>1.54</v>
      </c>
      <c r="I32" s="55">
        <v>1.52</v>
      </c>
      <c r="J32" s="55">
        <v>1.75</v>
      </c>
      <c r="K32" s="55">
        <v>1.24</v>
      </c>
      <c r="L32" s="55">
        <v>1.81</v>
      </c>
      <c r="M32" s="55">
        <v>1.54</v>
      </c>
      <c r="N32" s="55">
        <v>1.52</v>
      </c>
      <c r="O32" s="55">
        <v>1.6</v>
      </c>
      <c r="P32" s="55">
        <v>0</v>
      </c>
      <c r="Q32" s="55">
        <v>0</v>
      </c>
      <c r="R32" s="58">
        <v>0</v>
      </c>
    </row>
    <row r="33" spans="1:18">
      <c r="A33" s="137" t="s">
        <v>3</v>
      </c>
      <c r="B33" s="101" t="s">
        <v>83</v>
      </c>
      <c r="C33" s="138" t="s">
        <v>69</v>
      </c>
      <c r="D33" s="55">
        <v>5.87</v>
      </c>
      <c r="E33" s="55">
        <v>5.27</v>
      </c>
      <c r="F33" s="55">
        <v>5.21</v>
      </c>
      <c r="G33" s="55">
        <v>4.82</v>
      </c>
      <c r="H33" s="55">
        <v>4.6900000000000004</v>
      </c>
      <c r="I33" s="55">
        <v>5.43</v>
      </c>
      <c r="J33" s="55">
        <v>6.48</v>
      </c>
      <c r="K33" s="55">
        <v>5.87</v>
      </c>
      <c r="L33" s="55">
        <v>6.63</v>
      </c>
      <c r="M33" s="55">
        <v>6.37</v>
      </c>
      <c r="N33" s="55">
        <v>6.46</v>
      </c>
      <c r="O33" s="55">
        <v>6.49</v>
      </c>
      <c r="P33" s="55">
        <v>12.29</v>
      </c>
      <c r="Q33" s="55">
        <v>12.88</v>
      </c>
      <c r="R33" s="58">
        <v>11.62</v>
      </c>
    </row>
    <row r="34" spans="1:18" ht="28.8">
      <c r="A34" s="137" t="s">
        <v>3</v>
      </c>
      <c r="B34" s="101" t="s">
        <v>88</v>
      </c>
      <c r="C34" s="138" t="s">
        <v>69</v>
      </c>
      <c r="D34" s="55">
        <v>7.02</v>
      </c>
      <c r="E34" s="55">
        <v>7.99</v>
      </c>
      <c r="F34" s="55">
        <v>5.83</v>
      </c>
      <c r="G34" s="55">
        <v>5.4</v>
      </c>
      <c r="H34" s="55">
        <v>5.38</v>
      </c>
      <c r="I34" s="55">
        <v>5.63</v>
      </c>
      <c r="J34" s="140">
        <v>5.63</v>
      </c>
      <c r="K34" s="55">
        <v>7.02</v>
      </c>
      <c r="L34" s="141">
        <v>5.03</v>
      </c>
      <c r="M34" s="55">
        <v>4.7300000000000004</v>
      </c>
      <c r="N34" s="55">
        <v>5.76</v>
      </c>
      <c r="O34" s="55">
        <v>5.992</v>
      </c>
      <c r="P34" s="55">
        <v>6.4870000000000001</v>
      </c>
      <c r="Q34" s="55">
        <v>6.93</v>
      </c>
      <c r="R34" s="58">
        <v>7.9749999999999996</v>
      </c>
    </row>
    <row r="35" spans="1:18" ht="28.8">
      <c r="A35" s="137" t="s">
        <v>3</v>
      </c>
      <c r="B35" s="101" t="s">
        <v>109</v>
      </c>
      <c r="C35" s="138" t="s">
        <v>69</v>
      </c>
      <c r="D35" s="55">
        <v>1.01</v>
      </c>
      <c r="E35" s="55">
        <v>0.43</v>
      </c>
      <c r="F35" s="55">
        <v>0.74</v>
      </c>
      <c r="G35" s="139">
        <v>0.5</v>
      </c>
      <c r="H35" s="139">
        <v>0.7</v>
      </c>
      <c r="I35" s="55">
        <v>1.05</v>
      </c>
      <c r="J35" s="55">
        <v>0</v>
      </c>
      <c r="K35" s="55">
        <v>1.01</v>
      </c>
      <c r="L35" s="55">
        <v>0.8</v>
      </c>
      <c r="M35" s="55">
        <v>0.86</v>
      </c>
      <c r="N35" s="55">
        <v>0</v>
      </c>
      <c r="O35" s="55">
        <v>2.34</v>
      </c>
      <c r="P35" s="55">
        <v>2.16</v>
      </c>
      <c r="Q35" s="55">
        <v>0</v>
      </c>
      <c r="R35" s="58">
        <v>1.24</v>
      </c>
    </row>
    <row r="36" spans="1:18" ht="43.2">
      <c r="A36" s="137" t="s">
        <v>3</v>
      </c>
      <c r="B36" s="101" t="s">
        <v>110</v>
      </c>
      <c r="C36" s="138" t="s">
        <v>104</v>
      </c>
      <c r="D36" s="55">
        <v>43</v>
      </c>
      <c r="E36" s="55">
        <v>53</v>
      </c>
      <c r="F36" s="55">
        <v>13</v>
      </c>
      <c r="G36" s="55">
        <v>48</v>
      </c>
      <c r="H36" s="55">
        <v>23</v>
      </c>
      <c r="I36" s="55">
        <v>30</v>
      </c>
      <c r="J36" s="55">
        <v>38</v>
      </c>
      <c r="K36" s="55">
        <v>43</v>
      </c>
      <c r="L36" s="55">
        <v>22.7</v>
      </c>
      <c r="M36" s="55">
        <v>23.79</v>
      </c>
      <c r="N36" s="55">
        <v>43.48</v>
      </c>
      <c r="O36" s="55">
        <v>98</v>
      </c>
      <c r="P36" s="55">
        <v>110</v>
      </c>
      <c r="Q36" s="55">
        <v>88</v>
      </c>
      <c r="R36" s="58">
        <v>79</v>
      </c>
    </row>
    <row r="37" spans="1:18" ht="28.8">
      <c r="A37" s="137" t="s">
        <v>3</v>
      </c>
      <c r="B37" s="101" t="s">
        <v>111</v>
      </c>
      <c r="C37" s="138" t="s">
        <v>69</v>
      </c>
      <c r="D37" s="55">
        <v>824.03500000000008</v>
      </c>
      <c r="E37" s="55">
        <v>824.37</v>
      </c>
      <c r="F37" s="55">
        <v>737.19999999999993</v>
      </c>
      <c r="G37" s="55">
        <v>860.65</v>
      </c>
      <c r="H37" s="55">
        <v>863.6149999999999</v>
      </c>
      <c r="I37" s="55">
        <v>891.86999999999989</v>
      </c>
      <c r="J37" s="55">
        <v>896.20000000000073</v>
      </c>
      <c r="K37" s="55">
        <v>824.03500000000008</v>
      </c>
      <c r="L37" s="55">
        <v>905.79999999999916</v>
      </c>
      <c r="M37" s="55">
        <v>881.72500000000048</v>
      </c>
      <c r="N37" s="55">
        <v>895.23499999999967</v>
      </c>
      <c r="O37" s="55">
        <v>931.75500000000056</v>
      </c>
      <c r="P37" s="55">
        <v>864.60000000000025</v>
      </c>
      <c r="Q37" s="55">
        <v>918.97000000000025</v>
      </c>
      <c r="R37" s="58">
        <v>897.47500000000002</v>
      </c>
    </row>
    <row r="38" spans="1:18" ht="43.2">
      <c r="A38" s="137" t="s">
        <v>3</v>
      </c>
      <c r="B38" s="101" t="s">
        <v>112</v>
      </c>
      <c r="C38" s="138" t="s">
        <v>92</v>
      </c>
      <c r="D38" s="55">
        <v>17</v>
      </c>
      <c r="E38" s="55">
        <v>17</v>
      </c>
      <c r="F38" s="55">
        <v>17</v>
      </c>
      <c r="G38" s="55">
        <v>19.3</v>
      </c>
      <c r="H38" s="55">
        <v>19</v>
      </c>
      <c r="I38" s="55">
        <v>19</v>
      </c>
      <c r="J38" s="55">
        <v>19</v>
      </c>
      <c r="K38" s="55">
        <v>17</v>
      </c>
      <c r="L38" s="55">
        <v>19</v>
      </c>
      <c r="M38" s="55">
        <v>18</v>
      </c>
      <c r="N38" s="55">
        <v>20</v>
      </c>
      <c r="O38" s="55">
        <v>20</v>
      </c>
      <c r="P38" s="55">
        <v>20</v>
      </c>
      <c r="Q38" s="55">
        <v>20</v>
      </c>
      <c r="R38" s="58">
        <v>20</v>
      </c>
    </row>
    <row r="39" spans="1:18" ht="43.2">
      <c r="A39" s="137" t="s">
        <v>3</v>
      </c>
      <c r="B39" s="101" t="s">
        <v>113</v>
      </c>
      <c r="C39" s="138" t="s">
        <v>92</v>
      </c>
      <c r="D39" s="55">
        <v>17</v>
      </c>
      <c r="E39" s="55">
        <v>17</v>
      </c>
      <c r="F39" s="55">
        <v>17</v>
      </c>
      <c r="G39" s="55">
        <v>19.3</v>
      </c>
      <c r="H39" s="55">
        <v>19</v>
      </c>
      <c r="I39" s="55">
        <v>19</v>
      </c>
      <c r="J39" s="55">
        <v>19</v>
      </c>
      <c r="K39" s="55">
        <v>17</v>
      </c>
      <c r="L39" s="55">
        <v>19</v>
      </c>
      <c r="M39" s="55">
        <v>18</v>
      </c>
      <c r="N39" s="55">
        <v>20</v>
      </c>
      <c r="O39" s="55">
        <v>20</v>
      </c>
      <c r="P39" s="55">
        <v>20</v>
      </c>
      <c r="Q39" s="55">
        <v>20</v>
      </c>
      <c r="R39" s="58">
        <v>20</v>
      </c>
    </row>
    <row r="40" spans="1:18" ht="43.2">
      <c r="A40" s="137" t="s">
        <v>3</v>
      </c>
      <c r="B40" s="101" t="s">
        <v>114</v>
      </c>
      <c r="C40" s="138" t="s">
        <v>92</v>
      </c>
      <c r="D40" s="55">
        <v>18</v>
      </c>
      <c r="E40" s="55">
        <v>18</v>
      </c>
      <c r="F40" s="55">
        <v>17</v>
      </c>
      <c r="G40" s="55">
        <v>19.5</v>
      </c>
      <c r="H40" s="55">
        <v>18</v>
      </c>
      <c r="I40" s="55">
        <v>19</v>
      </c>
      <c r="J40" s="55">
        <v>19</v>
      </c>
      <c r="K40" s="55">
        <v>18</v>
      </c>
      <c r="L40" s="55">
        <v>19</v>
      </c>
      <c r="M40" s="55">
        <v>19</v>
      </c>
      <c r="N40" s="55">
        <v>19</v>
      </c>
      <c r="O40" s="55">
        <v>19.5</v>
      </c>
      <c r="P40" s="55">
        <v>19.5</v>
      </c>
      <c r="Q40" s="139">
        <v>18.2</v>
      </c>
      <c r="R40" s="58">
        <v>18.5</v>
      </c>
    </row>
    <row r="41" spans="1:18" ht="43.2">
      <c r="A41" s="137" t="s">
        <v>3</v>
      </c>
      <c r="B41" s="101" t="s">
        <v>115</v>
      </c>
      <c r="C41" s="138" t="s">
        <v>92</v>
      </c>
      <c r="D41" s="55">
        <v>18</v>
      </c>
      <c r="E41" s="55">
        <v>18</v>
      </c>
      <c r="F41" s="55">
        <v>17</v>
      </c>
      <c r="G41" s="55">
        <v>19.3</v>
      </c>
      <c r="H41" s="55">
        <v>18</v>
      </c>
      <c r="I41" s="55">
        <v>19</v>
      </c>
      <c r="J41" s="55">
        <v>19</v>
      </c>
      <c r="K41" s="55">
        <v>18</v>
      </c>
      <c r="L41" s="55">
        <v>19</v>
      </c>
      <c r="M41" s="55">
        <v>19</v>
      </c>
      <c r="N41" s="55">
        <v>19</v>
      </c>
      <c r="O41" s="55">
        <v>19.5</v>
      </c>
      <c r="P41" s="55">
        <v>19.5</v>
      </c>
      <c r="Q41" s="139">
        <v>18.2</v>
      </c>
      <c r="R41" s="58">
        <v>18.5</v>
      </c>
    </row>
    <row r="42" spans="1:18" ht="57.6">
      <c r="A42" s="137" t="s">
        <v>3</v>
      </c>
      <c r="B42" s="101" t="s">
        <v>116</v>
      </c>
      <c r="C42" s="138" t="s">
        <v>95</v>
      </c>
      <c r="D42" s="55">
        <v>0</v>
      </c>
      <c r="E42" s="55">
        <v>0</v>
      </c>
      <c r="F42" s="55">
        <v>0</v>
      </c>
      <c r="G42" s="55">
        <v>0</v>
      </c>
      <c r="H42" s="55">
        <v>0</v>
      </c>
      <c r="I42" s="55">
        <v>0</v>
      </c>
      <c r="J42" s="55">
        <v>0</v>
      </c>
      <c r="K42" s="55">
        <v>0</v>
      </c>
      <c r="L42" s="55">
        <v>0</v>
      </c>
      <c r="M42" s="55">
        <v>0</v>
      </c>
      <c r="N42" s="55">
        <v>0</v>
      </c>
      <c r="O42" s="55">
        <v>0</v>
      </c>
      <c r="P42" s="55">
        <v>0</v>
      </c>
      <c r="Q42" s="55">
        <v>0</v>
      </c>
      <c r="R42" s="58">
        <v>0</v>
      </c>
    </row>
    <row r="43" spans="1:18" ht="72">
      <c r="A43" s="137" t="s">
        <v>3</v>
      </c>
      <c r="B43" s="142" t="s">
        <v>117</v>
      </c>
      <c r="C43" s="138" t="s">
        <v>95</v>
      </c>
      <c r="D43" s="55">
        <v>0</v>
      </c>
      <c r="E43" s="55">
        <v>0</v>
      </c>
      <c r="F43" s="55">
        <v>0</v>
      </c>
      <c r="G43" s="55">
        <v>0</v>
      </c>
      <c r="H43" s="55">
        <v>0</v>
      </c>
      <c r="I43" s="55">
        <v>0</v>
      </c>
      <c r="J43" s="55">
        <v>0</v>
      </c>
      <c r="K43" s="55">
        <v>0</v>
      </c>
      <c r="L43" s="55">
        <v>0</v>
      </c>
      <c r="M43" s="55">
        <v>0</v>
      </c>
      <c r="N43" s="55">
        <v>0</v>
      </c>
      <c r="O43" s="55">
        <v>0</v>
      </c>
      <c r="P43" s="55">
        <v>0</v>
      </c>
      <c r="Q43" s="55">
        <v>0</v>
      </c>
      <c r="R43" s="58">
        <v>0</v>
      </c>
    </row>
    <row r="44" spans="1:18" ht="29.4" thickBot="1">
      <c r="A44" s="143" t="s">
        <v>3</v>
      </c>
      <c r="B44" s="144" t="s">
        <v>118</v>
      </c>
      <c r="C44" s="145" t="s">
        <v>69</v>
      </c>
      <c r="D44" s="139">
        <v>817.18500000000006</v>
      </c>
      <c r="E44" s="55">
        <v>813.14</v>
      </c>
      <c r="F44" s="55">
        <v>745.81999999999994</v>
      </c>
      <c r="G44" s="55">
        <v>860.28</v>
      </c>
      <c r="H44" s="55">
        <v>872.4849999999999</v>
      </c>
      <c r="I44" s="55">
        <v>890.07999999999993</v>
      </c>
      <c r="J44" s="55">
        <v>897</v>
      </c>
      <c r="K44" s="139">
        <v>817.18500000000006</v>
      </c>
      <c r="L44" s="55">
        <v>901.16999999999916</v>
      </c>
      <c r="M44" s="55">
        <v>883.37500000000045</v>
      </c>
      <c r="N44" s="55">
        <v>893.11499999999978</v>
      </c>
      <c r="O44" s="55">
        <v>920.10500000000047</v>
      </c>
      <c r="P44" s="55">
        <v>873.22000000000025</v>
      </c>
      <c r="Q44" s="55">
        <v>915.84000000000015</v>
      </c>
      <c r="R44" s="58">
        <v>901.25500000000011</v>
      </c>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19D0-1763-4B91-9E6A-51727A0E4B55}">
  <dimension ref="A1:A4"/>
  <sheetViews>
    <sheetView workbookViewId="0">
      <selection activeCell="D5" sqref="D5:D6"/>
    </sheetView>
  </sheetViews>
  <sheetFormatPr defaultRowHeight="14.4"/>
  <sheetData>
    <row r="1" spans="1:1">
      <c r="A1" t="s">
        <v>35</v>
      </c>
    </row>
    <row r="2" spans="1:1">
      <c r="A2" s="23" t="s">
        <v>3</v>
      </c>
    </row>
    <row r="3" spans="1:1">
      <c r="A3" s="23" t="s">
        <v>1</v>
      </c>
    </row>
    <row r="4" spans="1:1">
      <c r="A4" s="23" t="s">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368B-972C-4029-A359-1C5043469DF8}">
  <dimension ref="A1:A16"/>
  <sheetViews>
    <sheetView workbookViewId="0">
      <selection activeCell="D5" sqref="D5:D6"/>
    </sheetView>
  </sheetViews>
  <sheetFormatPr defaultRowHeight="14.4"/>
  <cols>
    <col min="1" max="1" width="11.44140625" customWidth="1"/>
    <col min="4" max="5" width="10.33203125" customWidth="1"/>
    <col min="12" max="12" width="12.44140625" bestFit="1" customWidth="1"/>
  </cols>
  <sheetData>
    <row r="1" spans="1:1">
      <c r="A1" t="s">
        <v>34</v>
      </c>
    </row>
    <row r="2" spans="1:1">
      <c r="A2" s="24">
        <v>45931</v>
      </c>
    </row>
    <row r="3" spans="1:1">
      <c r="A3" s="24">
        <v>45932</v>
      </c>
    </row>
    <row r="4" spans="1:1">
      <c r="A4" s="24">
        <v>45933</v>
      </c>
    </row>
    <row r="5" spans="1:1">
      <c r="A5" s="24">
        <v>45934</v>
      </c>
    </row>
    <row r="6" spans="1:1">
      <c r="A6" s="24">
        <v>45935</v>
      </c>
    </row>
    <row r="7" spans="1:1">
      <c r="A7" s="24">
        <v>45936</v>
      </c>
    </row>
    <row r="8" spans="1:1">
      <c r="A8" s="24">
        <v>45937</v>
      </c>
    </row>
    <row r="9" spans="1:1">
      <c r="A9" s="24">
        <v>45938</v>
      </c>
    </row>
    <row r="10" spans="1:1">
      <c r="A10" s="24">
        <v>45939</v>
      </c>
    </row>
    <row r="11" spans="1:1">
      <c r="A11" s="24">
        <v>45940</v>
      </c>
    </row>
    <row r="12" spans="1:1">
      <c r="A12" s="24">
        <v>45941</v>
      </c>
    </row>
    <row r="13" spans="1:1">
      <c r="A13" s="24">
        <v>45942</v>
      </c>
    </row>
    <row r="14" spans="1:1">
      <c r="A14" s="24">
        <v>45943</v>
      </c>
    </row>
    <row r="15" spans="1:1">
      <c r="A15" s="24">
        <v>45944</v>
      </c>
    </row>
    <row r="16" spans="1:1">
      <c r="A16" s="24">
        <v>45945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B08F-2AFC-48EB-92E4-DD54F8AD9361}">
  <dimension ref="A1:A13"/>
  <sheetViews>
    <sheetView workbookViewId="0">
      <selection activeCell="D5" sqref="D5:D6"/>
    </sheetView>
  </sheetViews>
  <sheetFormatPr defaultRowHeight="14.4"/>
  <cols>
    <col min="1" max="1" width="25.109375" customWidth="1"/>
  </cols>
  <sheetData>
    <row r="1" spans="1:1">
      <c r="A1" t="s">
        <v>36</v>
      </c>
    </row>
    <row r="2" spans="1:1">
      <c r="A2" s="23" t="s">
        <v>15</v>
      </c>
    </row>
    <row r="3" spans="1:1">
      <c r="A3" s="23" t="s">
        <v>12</v>
      </c>
    </row>
    <row r="4" spans="1:1">
      <c r="A4" s="23" t="s">
        <v>4</v>
      </c>
    </row>
    <row r="5" spans="1:1">
      <c r="A5" s="23" t="s">
        <v>7</v>
      </c>
    </row>
    <row r="6" spans="1:1">
      <c r="A6" s="23" t="s">
        <v>14</v>
      </c>
    </row>
    <row r="7" spans="1:1">
      <c r="A7" s="23" t="s">
        <v>9</v>
      </c>
    </row>
    <row r="8" spans="1:1">
      <c r="A8" s="23" t="s">
        <v>6</v>
      </c>
    </row>
    <row r="9" spans="1:1">
      <c r="A9" s="23" t="s">
        <v>5</v>
      </c>
    </row>
    <row r="10" spans="1:1">
      <c r="A10" s="23" t="s">
        <v>10</v>
      </c>
    </row>
    <row r="11" spans="1:1">
      <c r="A11" s="23" t="s">
        <v>8</v>
      </c>
    </row>
    <row r="12" spans="1:1">
      <c r="A12" s="23" t="s">
        <v>13</v>
      </c>
    </row>
    <row r="13" spans="1:1">
      <c r="A13" s="23" t="s">
        <v>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DA4B-29D8-4DB8-B2B1-359B77D33BE4}">
  <dimension ref="A1"/>
  <sheetViews>
    <sheetView showGridLines="0" showRowColHeaders="0" tabSelected="1" zoomScale="82" zoomScaleNormal="85" workbookViewId="0">
      <selection activeCell="O39" sqref="O38:O39"/>
      <extLst>
        <ext xmlns:xlsdti="http://schemas.microsoft.com/office/spreadsheetml/2023/showDataTypeIcons" uri="{77bfe23e-c014-4d31-8a63-9c772dbf06b6}">
          <xlsdti:showDataTypeIcons visible="0"/>
        </ext>
      </extLst>
    </sheetView>
  </sheetViews>
  <sheetFormatPr defaultRowHeight="14.4"/>
  <cols>
    <col min="1" max="1" width="12.44140625" bestFit="1" customWidth="1"/>
    <col min="2" max="2" width="13.5546875" bestFit="1" customWidth="1"/>
    <col min="3" max="3" width="10.5546875" bestFit="1" customWidth="1"/>
    <col min="4" max="4" width="3.33203125" bestFit="1" customWidth="1"/>
    <col min="5" max="5" width="4.5546875" bestFit="1" customWidth="1"/>
    <col min="6" max="6" width="10.5546875" bestFit="1" customWidth="1"/>
    <col min="7" max="7" width="6" bestFit="1" customWidth="1"/>
    <col min="8" max="8" width="10.5546875" bestFit="1" customWidth="1"/>
    <col min="9" max="9" width="8.109375" bestFit="1" customWidth="1"/>
    <col min="10" max="10" width="8" bestFit="1" customWidth="1"/>
    <col min="11" max="11" width="10.33203125" bestFit="1" customWidth="1"/>
    <col min="12" max="12" width="6.109375" bestFit="1" customWidth="1"/>
    <col min="13" max="14" width="10.5546875" bestFit="1" customWidth="1"/>
    <col min="15" max="132" width="18.44140625" bestFit="1" customWidth="1"/>
    <col min="133" max="133" width="10.5546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Props1.xml><?xml version="1.0" encoding="utf-8"?>
<ds:datastoreItem xmlns:ds="http://schemas.openxmlformats.org/officeDocument/2006/customXml" ds:itemID="{0A19BA2F-34A5-4D0F-9091-379CDB242064}">
  <ds:schemaRefs/>
</ds:datastoreItem>
</file>

<file path=customXml/itemProps2.xml><?xml version="1.0" encoding="utf-8"?>
<ds:datastoreItem xmlns:ds="http://schemas.openxmlformats.org/officeDocument/2006/customXml" ds:itemID="{9D1EE332-7AA9-4CEF-807B-ED915BA8097C}">
  <ds:schemaRefs/>
</ds:datastoreItem>
</file>

<file path=customXml/itemProps3.xml><?xml version="1.0" encoding="utf-8"?>
<ds:datastoreItem xmlns:ds="http://schemas.openxmlformats.org/officeDocument/2006/customXml" ds:itemID="{21B06BF3-B576-4025-86F5-A2F750BF05DA}">
  <ds:schemaRefs/>
</ds:datastoreItem>
</file>

<file path=customXml/itemProps4.xml><?xml version="1.0" encoding="utf-8"?>
<ds:datastoreItem xmlns:ds="http://schemas.openxmlformats.org/officeDocument/2006/customXml" ds:itemID="{8564B181-BFE2-4C05-8059-B06E0A5884CA}">
  <ds:schemaRefs/>
</ds:datastoreItem>
</file>

<file path=customXml/itemProps5.xml><?xml version="1.0" encoding="utf-8"?>
<ds:datastoreItem xmlns:ds="http://schemas.openxmlformats.org/officeDocument/2006/customXml" ds:itemID="{92B1F1C8-5FB7-4325-B79C-5845E83D2560}">
  <ds:schemaRefs/>
</ds:datastoreItem>
</file>

<file path=customXml/itemProps6.xml><?xml version="1.0" encoding="utf-8"?>
<ds:datastoreItem xmlns:ds="http://schemas.openxmlformats.org/officeDocument/2006/customXml" ds:itemID="{D037187D-6A87-4BB6-9557-5BA45273DB54}">
  <ds:schemaRefs/>
</ds:datastoreItem>
</file>

<file path=customXml/itemProps7.xml><?xml version="1.0" encoding="utf-8"?>
<ds:datastoreItem xmlns:ds="http://schemas.openxmlformats.org/officeDocument/2006/customXml" ds:itemID="{55B4C82E-CD6A-411D-B7E7-5D1DE75A591E}">
  <ds:schemaRefs/>
</ds:datastoreItem>
</file>

<file path=customXml/itemProps8.xml><?xml version="1.0" encoding="utf-8"?>
<ds:datastoreItem xmlns:ds="http://schemas.openxmlformats.org/officeDocument/2006/customXml" ds:itemID="{74ECA143-9247-498F-95C5-01B32E3728C2}">
  <ds:schemaRefs/>
</ds:datastoreItem>
</file>

<file path=customXml/itemProps9.xml><?xml version="1.0" encoding="utf-8"?>
<ds:datastoreItem xmlns:ds="http://schemas.openxmlformats.org/officeDocument/2006/customXml" ds:itemID="{EA7E0BC6-7304-4558-82E3-C719DC28DC45}">
  <ds:schemaRefs/>
</ds:datastoreItem>
</file>

<file path=customXml/itemProps10.xml><?xml version="1.0" encoding="utf-8"?>
<ds:datastoreItem xmlns:ds="http://schemas.openxmlformats.org/officeDocument/2006/customXml" ds:itemID="{2AAB25A5-6EBD-4EB8-B741-58935A3E50CC}">
  <ds:schemaRefs/>
</ds:datastoreItem>
</file>

<file path=customXml/itemProps11.xml><?xml version="1.0" encoding="utf-8"?>
<ds:datastoreItem xmlns:ds="http://schemas.openxmlformats.org/officeDocument/2006/customXml" ds:itemID="{C49B8709-A0A0-47CA-A038-054C22A5C633}">
  <ds:schemaRefs/>
</ds:datastoreItem>
</file>

<file path=customXml/itemProps12.xml><?xml version="1.0" encoding="utf-8"?>
<ds:datastoreItem xmlns:ds="http://schemas.openxmlformats.org/officeDocument/2006/customXml" ds:itemID="{4742CDA2-AD5D-49B2-A767-B6CAF4EFEE00}">
  <ds:schemaRefs/>
</ds:datastoreItem>
</file>

<file path=customXml/itemProps13.xml><?xml version="1.0" encoding="utf-8"?>
<ds:datastoreItem xmlns:ds="http://schemas.openxmlformats.org/officeDocument/2006/customXml" ds:itemID="{FDCB6400-984A-4F0C-9161-F4FFAE7C8FEB}">
  <ds:schemaRefs/>
</ds:datastoreItem>
</file>

<file path=customXml/itemProps14.xml><?xml version="1.0" encoding="utf-8"?>
<ds:datastoreItem xmlns:ds="http://schemas.openxmlformats.org/officeDocument/2006/customXml" ds:itemID="{1E64A74A-C082-45EF-9ED7-32659878F132}">
  <ds:schemaRefs/>
</ds:datastoreItem>
</file>

<file path=customXml/itemProps15.xml><?xml version="1.0" encoding="utf-8"?>
<ds:datastoreItem xmlns:ds="http://schemas.openxmlformats.org/officeDocument/2006/customXml" ds:itemID="{50E68E23-44D3-4179-A9D6-EB13A3154387}">
  <ds:schemaRefs/>
</ds:datastoreItem>
</file>

<file path=customXml/itemProps16.xml><?xml version="1.0" encoding="utf-8"?>
<ds:datastoreItem xmlns:ds="http://schemas.openxmlformats.org/officeDocument/2006/customXml" ds:itemID="{102EE505-8AD6-4A97-9EFB-9A9C3D7290B0}">
  <ds:schemaRefs/>
</ds:datastoreItem>
</file>

<file path=customXml/itemProps17.xml><?xml version="1.0" encoding="utf-8"?>
<ds:datastoreItem xmlns:ds="http://schemas.openxmlformats.org/officeDocument/2006/customXml" ds:itemID="{0BCF4C1D-FBB7-4DD9-9354-26586D32C4FC}">
  <ds:schemaRefs/>
</ds:datastoreItem>
</file>

<file path=customXml/itemProps18.xml><?xml version="1.0" encoding="utf-8"?>
<ds:datastoreItem xmlns:ds="http://schemas.openxmlformats.org/officeDocument/2006/customXml" ds:itemID="{7E2867A2-2039-40CC-A9C8-C79024F8FC10}">
  <ds:schemaRefs/>
</ds:datastoreItem>
</file>

<file path=customXml/itemProps19.xml><?xml version="1.0" encoding="utf-8"?>
<ds:datastoreItem xmlns:ds="http://schemas.openxmlformats.org/officeDocument/2006/customXml" ds:itemID="{70C86FA5-835F-476A-A203-FCB3FA4316E5}">
  <ds:schemaRefs/>
</ds:datastoreItem>
</file>

<file path=customXml/itemProps20.xml><?xml version="1.0" encoding="utf-8"?>
<ds:datastoreItem xmlns:ds="http://schemas.openxmlformats.org/officeDocument/2006/customXml" ds:itemID="{64B8B09E-F587-406A-A1F7-60B21179F091}">
  <ds:schemaRefs/>
</ds:datastoreItem>
</file>

<file path=customXml/itemProps21.xml><?xml version="1.0" encoding="utf-8"?>
<ds:datastoreItem xmlns:ds="http://schemas.openxmlformats.org/officeDocument/2006/customXml" ds:itemID="{21C9177B-4C6E-4526-9A61-EF86E88E13BB}">
  <ds:schemaRefs/>
</ds:datastoreItem>
</file>

<file path=customXml/itemProps22.xml><?xml version="1.0" encoding="utf-8"?>
<ds:datastoreItem xmlns:ds="http://schemas.openxmlformats.org/officeDocument/2006/customXml" ds:itemID="{81EDAAFF-6422-4F3D-9541-757DBA395BC7}">
  <ds:schemaRefs/>
</ds:datastoreItem>
</file>

<file path=customXml/itemProps23.xml><?xml version="1.0" encoding="utf-8"?>
<ds:datastoreItem xmlns:ds="http://schemas.openxmlformats.org/officeDocument/2006/customXml" ds:itemID="{24759D4C-352D-4147-9E8B-4FC0EEBAF030}">
  <ds:schemaRefs/>
</ds:datastoreItem>
</file>

<file path=customXml/itemProps24.xml><?xml version="1.0" encoding="utf-8"?>
<ds:datastoreItem xmlns:ds="http://schemas.openxmlformats.org/officeDocument/2006/customXml" ds:itemID="{36DAD0A4-A416-4C3A-92B6-29CE21248AB8}">
  <ds:schemaRefs/>
</ds:datastoreItem>
</file>

<file path=customXml/itemProps25.xml><?xml version="1.0" encoding="utf-8"?>
<ds:datastoreItem xmlns:ds="http://schemas.openxmlformats.org/officeDocument/2006/customXml" ds:itemID="{638EB5A3-503B-4606-A017-1FE5619BD614}">
  <ds:schemaRefs/>
</ds:datastoreItem>
</file>

<file path=customXml/itemProps26.xml><?xml version="1.0" encoding="utf-8"?>
<ds:datastoreItem xmlns:ds="http://schemas.openxmlformats.org/officeDocument/2006/customXml" ds:itemID="{BF35FACC-BED7-42BF-89FA-DDBE3155060E}">
  <ds:schemaRefs/>
</ds:datastoreItem>
</file>

<file path=customXml/itemProps27.xml><?xml version="1.0" encoding="utf-8"?>
<ds:datastoreItem xmlns:ds="http://schemas.openxmlformats.org/officeDocument/2006/customXml" ds:itemID="{46AB1CF2-D3AB-41EF-A927-7CBB51D5C9A7}">
  <ds:schemaRefs/>
</ds:datastoreItem>
</file>

<file path=customXml/itemProps28.xml><?xml version="1.0" encoding="utf-8"?>
<ds:datastoreItem xmlns:ds="http://schemas.openxmlformats.org/officeDocument/2006/customXml" ds:itemID="{EA274A48-A9FD-451C-8227-CF1C7E048FD6}">
  <ds:schemaRefs/>
</ds:datastoreItem>
</file>

<file path=customXml/itemProps29.xml><?xml version="1.0" encoding="utf-8"?>
<ds:datastoreItem xmlns:ds="http://schemas.openxmlformats.org/officeDocument/2006/customXml" ds:itemID="{BE4DFBEA-7C44-4394-8F45-DA2714D43BD4}">
  <ds:schemaRefs/>
</ds:datastoreItem>
</file>

<file path=customXml/itemProps30.xml><?xml version="1.0" encoding="utf-8"?>
<ds:datastoreItem xmlns:ds="http://schemas.openxmlformats.org/officeDocument/2006/customXml" ds:itemID="{1FC943F3-7E72-4223-822A-CE0F332DD0A6}">
  <ds:schemaRefs/>
</ds:datastoreItem>
</file>

<file path=customXml/itemProps31.xml><?xml version="1.0" encoding="utf-8"?>
<ds:datastoreItem xmlns:ds="http://schemas.openxmlformats.org/officeDocument/2006/customXml" ds:itemID="{90F800E0-8328-4431-AB18-A1087671ED7F}">
  <ds:schemaRefs/>
</ds:datastoreItem>
</file>

<file path=customXml/itemProps32.xml><?xml version="1.0" encoding="utf-8"?>
<ds:datastoreItem xmlns:ds="http://schemas.openxmlformats.org/officeDocument/2006/customXml" ds:itemID="{2510CD2A-093E-4A7B-AF05-B5E3FEAADFAD}">
  <ds:schemaRefs/>
</ds:datastoreItem>
</file>

<file path=customXml/itemProps33.xml><?xml version="1.0" encoding="utf-8"?>
<ds:datastoreItem xmlns:ds="http://schemas.openxmlformats.org/officeDocument/2006/customXml" ds:itemID="{84F3525D-AC0E-43AC-A86B-4EFD98733265}">
  <ds:schemaRefs/>
</ds:datastoreItem>
</file>

<file path=customXml/itemProps34.xml><?xml version="1.0" encoding="utf-8"?>
<ds:datastoreItem xmlns:ds="http://schemas.openxmlformats.org/officeDocument/2006/customXml" ds:itemID="{9B14C7A4-16B9-4FC0-934D-2DCDD99CDEE4}">
  <ds:schemaRefs/>
</ds:datastoreItem>
</file>

<file path=customXml/itemProps35.xml><?xml version="1.0" encoding="utf-8"?>
<ds:datastoreItem xmlns:ds="http://schemas.openxmlformats.org/officeDocument/2006/customXml" ds:itemID="{30CAB63F-E935-4989-81BC-B2F8D0783100}">
  <ds:schemaRefs/>
</ds:datastoreItem>
</file>

<file path=customXml/itemProps36.xml><?xml version="1.0" encoding="utf-8"?>
<ds:datastoreItem xmlns:ds="http://schemas.openxmlformats.org/officeDocument/2006/customXml" ds:itemID="{9A5096B0-E9CB-4639-99E8-9F8A9D7B240B}">
  <ds:schemaRefs/>
</ds:datastoreItem>
</file>

<file path=customXml/itemProps37.xml><?xml version="1.0" encoding="utf-8"?>
<ds:datastoreItem xmlns:ds="http://schemas.openxmlformats.org/officeDocument/2006/customXml" ds:itemID="{963A125A-54F0-409A-A67E-48A8041E7808}">
  <ds:schemaRefs/>
</ds:datastoreItem>
</file>

<file path=customXml/itemProps38.xml><?xml version="1.0" encoding="utf-8"?>
<ds:datastoreItem xmlns:ds="http://schemas.openxmlformats.org/officeDocument/2006/customXml" ds:itemID="{88D4E3ED-457A-4F02-A2CD-69EACAAD43E2}">
  <ds:schemaRefs/>
</ds:datastoreItem>
</file>

<file path=customXml/itemProps39.xml><?xml version="1.0" encoding="utf-8"?>
<ds:datastoreItem xmlns:ds="http://schemas.openxmlformats.org/officeDocument/2006/customXml" ds:itemID="{3457BA94-80CB-4005-AE84-B117E5EADD25}">
  <ds:schemaRefs/>
</ds:datastoreItem>
</file>

<file path=customXml/itemProps40.xml><?xml version="1.0" encoding="utf-8"?>
<ds:datastoreItem xmlns:ds="http://schemas.openxmlformats.org/officeDocument/2006/customXml" ds:itemID="{6855FF09-6678-426E-ADE5-D8D26CA44853}">
  <ds:schemaRefs/>
</ds:datastoreItem>
</file>

<file path=customXml/itemProps41.xml><?xml version="1.0" encoding="utf-8"?>
<ds:datastoreItem xmlns:ds="http://schemas.openxmlformats.org/officeDocument/2006/customXml" ds:itemID="{3ECC3958-5DC7-420F-A295-60586E813735}">
  <ds:schemaRefs/>
</ds:datastoreItem>
</file>

<file path=customXml/itemProps42.xml><?xml version="1.0" encoding="utf-8"?>
<ds:datastoreItem xmlns:ds="http://schemas.openxmlformats.org/officeDocument/2006/customXml" ds:itemID="{DD69C4D1-AFC7-41A2-9BE5-EA3CBB6F166B}">
  <ds:schemaRefs/>
</ds:datastoreItem>
</file>

<file path=customXml/itemProps43.xml><?xml version="1.0" encoding="utf-8"?>
<ds:datastoreItem xmlns:ds="http://schemas.openxmlformats.org/officeDocument/2006/customXml" ds:itemID="{7F1F42BD-0416-4A4C-ABEB-DE459CE2A8B2}">
  <ds:schemaRefs/>
</ds:datastoreItem>
</file>

<file path=customXml/itemProps44.xml><?xml version="1.0" encoding="utf-8"?>
<ds:datastoreItem xmlns:ds="http://schemas.openxmlformats.org/officeDocument/2006/customXml" ds:itemID="{D92E0DDF-3E04-45F8-AB42-5407DC6F3C32}">
  <ds:schemaRefs/>
</ds:datastoreItem>
</file>

<file path=customXml/itemProps45.xml><?xml version="1.0" encoding="utf-8"?>
<ds:datastoreItem xmlns:ds="http://schemas.openxmlformats.org/officeDocument/2006/customXml" ds:itemID="{27E5537D-6218-43A5-AFF7-0A1C6721A192}">
  <ds:schemaRefs/>
</ds:datastoreItem>
</file>

<file path=customXml/itemProps46.xml><?xml version="1.0" encoding="utf-8"?>
<ds:datastoreItem xmlns:ds="http://schemas.openxmlformats.org/officeDocument/2006/customXml" ds:itemID="{555A5354-AC77-4B5F-AC22-7B734686C2C1}">
  <ds:schemaRefs>
    <ds:schemaRef ds:uri="http://schemas.microsoft.com/DataMashup"/>
  </ds:schemaRefs>
</ds:datastoreItem>
</file>

<file path=customXml/itemProps47.xml><?xml version="1.0" encoding="utf-8"?>
<ds:datastoreItem xmlns:ds="http://schemas.openxmlformats.org/officeDocument/2006/customXml" ds:itemID="{262D17A8-A95D-47B9-A6B8-6FBF2CC5B9E9}">
  <ds:schemaRefs/>
</ds:datastoreItem>
</file>

<file path=customXml/itemProps48.xml><?xml version="1.0" encoding="utf-8"?>
<ds:datastoreItem xmlns:ds="http://schemas.openxmlformats.org/officeDocument/2006/customXml" ds:itemID="{7BFA4D71-A856-4B94-90EF-22A5C0EFFFA4}">
  <ds:schemaRefs/>
</ds:datastoreItem>
</file>

<file path=customXml/itemProps49.xml><?xml version="1.0" encoding="utf-8"?>
<ds:datastoreItem xmlns:ds="http://schemas.openxmlformats.org/officeDocument/2006/customXml" ds:itemID="{2BD754FE-6930-4D06-A0DB-8092A801E55A}">
  <ds:schemaRefs/>
</ds:datastoreItem>
</file>

<file path=customXml/itemProps50.xml><?xml version="1.0" encoding="utf-8"?>
<ds:datastoreItem xmlns:ds="http://schemas.openxmlformats.org/officeDocument/2006/customXml" ds:itemID="{DE9CF4B8-624C-4A43-959C-9E6BBE97B054}">
  <ds:schemaRefs/>
</ds:datastoreItem>
</file>

<file path=customXml/itemProps51.xml><?xml version="1.0" encoding="utf-8"?>
<ds:datastoreItem xmlns:ds="http://schemas.openxmlformats.org/officeDocument/2006/customXml" ds:itemID="{8BA37E6A-33BC-4FE1-B552-AD6CBE493356}">
  <ds:schemaRefs/>
</ds:datastoreItem>
</file>

<file path=customXml/itemProps52.xml><?xml version="1.0" encoding="utf-8"?>
<ds:datastoreItem xmlns:ds="http://schemas.openxmlformats.org/officeDocument/2006/customXml" ds:itemID="{1AE78AF8-86C7-450E-BC2E-259D19E86DCB}">
  <ds:schemaRefs/>
</ds:datastoreItem>
</file>

<file path=customXml/itemProps53.xml><?xml version="1.0" encoding="utf-8"?>
<ds:datastoreItem xmlns:ds="http://schemas.openxmlformats.org/officeDocument/2006/customXml" ds:itemID="{2CADF8CC-1CA2-4D24-A663-148D6BD03255}">
  <ds:schemaRefs/>
</ds:datastoreItem>
</file>

<file path=customXml/itemProps54.xml><?xml version="1.0" encoding="utf-8"?>
<ds:datastoreItem xmlns:ds="http://schemas.openxmlformats.org/officeDocument/2006/customXml" ds:itemID="{EDA9E657-3E16-49B4-8526-FA4B82EF7459}">
  <ds:schemaRefs/>
</ds:datastoreItem>
</file>

<file path=customXml/itemProps55.xml><?xml version="1.0" encoding="utf-8"?>
<ds:datastoreItem xmlns:ds="http://schemas.openxmlformats.org/officeDocument/2006/customXml" ds:itemID="{C14C1704-3D62-4826-958B-435DFB38B18D}">
  <ds:schemaRefs/>
</ds:datastoreItem>
</file>

<file path=customXml/itemProps56.xml><?xml version="1.0" encoding="utf-8"?>
<ds:datastoreItem xmlns:ds="http://schemas.openxmlformats.org/officeDocument/2006/customXml" ds:itemID="{589FB96C-493D-4037-9503-1EFDC66FE558}">
  <ds:schemaRefs/>
</ds:datastoreItem>
</file>

<file path=customXml/itemProps57.xml><?xml version="1.0" encoding="utf-8"?>
<ds:datastoreItem xmlns:ds="http://schemas.openxmlformats.org/officeDocument/2006/customXml" ds:itemID="{CE0B6B65-C2A0-460B-9277-8447E6243926}">
  <ds:schemaRefs/>
</ds:datastoreItem>
</file>

<file path=customXml/itemProps58.xml><?xml version="1.0" encoding="utf-8"?>
<ds:datastoreItem xmlns:ds="http://schemas.openxmlformats.org/officeDocument/2006/customXml" ds:itemID="{8BAB65A3-CD36-4064-9367-E6B58F151662}">
  <ds:schemaRefs/>
</ds:datastoreItem>
</file>

<file path=customXml/itemProps59.xml><?xml version="1.0" encoding="utf-8"?>
<ds:datastoreItem xmlns:ds="http://schemas.openxmlformats.org/officeDocument/2006/customXml" ds:itemID="{9EFFFD09-8EDE-43BB-B0F8-70BF97283E4C}">
  <ds:schemaRefs/>
</ds:datastoreItem>
</file>

<file path=customXml/itemProps60.xml><?xml version="1.0" encoding="utf-8"?>
<ds:datastoreItem xmlns:ds="http://schemas.openxmlformats.org/officeDocument/2006/customXml" ds:itemID="{87F1CD41-3885-4557-B5B1-8DB19952BC93}">
  <ds:schemaRefs/>
</ds:datastoreItem>
</file>

<file path=customXml/itemProps61.xml><?xml version="1.0" encoding="utf-8"?>
<ds:datastoreItem xmlns:ds="http://schemas.openxmlformats.org/officeDocument/2006/customXml" ds:itemID="{3C3D4784-1F31-402E-A297-4EF4F0C3E148}">
  <ds:schemaRefs/>
</ds:datastoreItem>
</file>

<file path=customXml/itemProps62.xml><?xml version="1.0" encoding="utf-8"?>
<ds:datastoreItem xmlns:ds="http://schemas.openxmlformats.org/officeDocument/2006/customXml" ds:itemID="{AB787275-5988-44DF-A5E9-EEF94B37FCBC}">
  <ds:schemaRefs/>
</ds:datastoreItem>
</file>

<file path=customXml/itemProps63.xml><?xml version="1.0" encoding="utf-8"?>
<ds:datastoreItem xmlns:ds="http://schemas.openxmlformats.org/officeDocument/2006/customXml" ds:itemID="{86F763EC-348A-406C-9DFA-D4FB40064267}">
  <ds:schemaRefs/>
</ds:datastoreItem>
</file>

<file path=customXml/itemProps64.xml><?xml version="1.0" encoding="utf-8"?>
<ds:datastoreItem xmlns:ds="http://schemas.openxmlformats.org/officeDocument/2006/customXml" ds:itemID="{A430AEFB-D46D-40DA-8019-1116407C44E8}">
  <ds:schemaRefs/>
</ds:datastoreItem>
</file>

<file path=customXml/itemProps65.xml><?xml version="1.0" encoding="utf-8"?>
<ds:datastoreItem xmlns:ds="http://schemas.openxmlformats.org/officeDocument/2006/customXml" ds:itemID="{290F81CD-6B9E-447E-86B7-2DA2580AB331}">
  <ds:schemaRefs/>
</ds:datastoreItem>
</file>

<file path=customXml/itemProps66.xml><?xml version="1.0" encoding="utf-8"?>
<ds:datastoreItem xmlns:ds="http://schemas.openxmlformats.org/officeDocument/2006/customXml" ds:itemID="{2ED62BDE-80E6-4E8B-B57A-7ECB553D7A0A}">
  <ds:schemaRefs/>
</ds:datastoreItem>
</file>

<file path=customXml/itemProps67.xml><?xml version="1.0" encoding="utf-8"?>
<ds:datastoreItem xmlns:ds="http://schemas.openxmlformats.org/officeDocument/2006/customXml" ds:itemID="{1F2DC0DC-E414-4A1B-B150-1B43CEF3C59F}">
  <ds:schemaRefs/>
</ds:datastoreItem>
</file>

<file path=customXml/itemProps68.xml><?xml version="1.0" encoding="utf-8"?>
<ds:datastoreItem xmlns:ds="http://schemas.openxmlformats.org/officeDocument/2006/customXml" ds:itemID="{1A523C35-A957-4E24-ADD5-04FC54729F39}">
  <ds:schemaRefs/>
</ds:datastoreItem>
</file>

<file path=customXml/itemProps69.xml><?xml version="1.0" encoding="utf-8"?>
<ds:datastoreItem xmlns:ds="http://schemas.openxmlformats.org/officeDocument/2006/customXml" ds:itemID="{F96DBEFA-C176-4391-A617-A33001009B19}">
  <ds:schemaRefs/>
</ds:datastoreItem>
</file>

<file path=customXml/itemProps70.xml><?xml version="1.0" encoding="utf-8"?>
<ds:datastoreItem xmlns:ds="http://schemas.openxmlformats.org/officeDocument/2006/customXml" ds:itemID="{58A72272-6586-4698-916B-7F1372CEC67D}">
  <ds:schemaRefs/>
</ds:datastoreItem>
</file>

<file path=customXml/itemProps71.xml><?xml version="1.0" encoding="utf-8"?>
<ds:datastoreItem xmlns:ds="http://schemas.openxmlformats.org/officeDocument/2006/customXml" ds:itemID="{514D5488-F451-46CB-ADE1-BC4F26E14747}">
  <ds:schemaRefs/>
</ds:datastoreItem>
</file>

<file path=customXml/itemProps72.xml><?xml version="1.0" encoding="utf-8"?>
<ds:datastoreItem xmlns:ds="http://schemas.openxmlformats.org/officeDocument/2006/customXml" ds:itemID="{FFFEE7DC-2845-4D9B-89F5-FEF95D1702FC}">
  <ds:schemaRefs/>
</ds:datastoreItem>
</file>

<file path=customXml/itemProps73.xml><?xml version="1.0" encoding="utf-8"?>
<ds:datastoreItem xmlns:ds="http://schemas.openxmlformats.org/officeDocument/2006/customXml" ds:itemID="{59A4A0C9-31E1-4497-8FD9-78BD1816962B}">
  <ds:schemaRefs/>
</ds:datastoreItem>
</file>

<file path=customXml/itemProps74.xml><?xml version="1.0" encoding="utf-8"?>
<ds:datastoreItem xmlns:ds="http://schemas.openxmlformats.org/officeDocument/2006/customXml" ds:itemID="{E2B7EF69-B273-4A6C-8204-5E6D5CDB511D}">
  <ds:schemaRefs/>
</ds:datastoreItem>
</file>

<file path=customXml/itemProps75.xml><?xml version="1.0" encoding="utf-8"?>
<ds:datastoreItem xmlns:ds="http://schemas.openxmlformats.org/officeDocument/2006/customXml" ds:itemID="{03FF9BD6-2845-43A1-BC54-D3C3F6792F3F}">
  <ds:schemaRefs/>
</ds:datastoreItem>
</file>

<file path=customXml/itemProps76.xml><?xml version="1.0" encoding="utf-8"?>
<ds:datastoreItem xmlns:ds="http://schemas.openxmlformats.org/officeDocument/2006/customXml" ds:itemID="{5E58E510-A8CF-4F30-A30C-1D04C9C75B84}">
  <ds:schemaRefs/>
</ds:datastoreItem>
</file>

<file path=customXml/itemProps77.xml><?xml version="1.0" encoding="utf-8"?>
<ds:datastoreItem xmlns:ds="http://schemas.openxmlformats.org/officeDocument/2006/customXml" ds:itemID="{3FF74BB1-FA4B-44E2-90EB-9D67DDF8BB5E}">
  <ds:schemaRefs/>
</ds:datastoreItem>
</file>

<file path=customXml/itemProps78.xml><?xml version="1.0" encoding="utf-8"?>
<ds:datastoreItem xmlns:ds="http://schemas.openxmlformats.org/officeDocument/2006/customXml" ds:itemID="{E5F38FF7-88D5-418F-90F2-5218FA178F80}">
  <ds:schemaRefs/>
</ds:datastoreItem>
</file>

<file path=customXml/itemProps79.xml><?xml version="1.0" encoding="utf-8"?>
<ds:datastoreItem xmlns:ds="http://schemas.openxmlformats.org/officeDocument/2006/customXml" ds:itemID="{A43EB83D-2DDB-47DE-8FF8-922473374A9A}">
  <ds:schemaRefs/>
</ds:datastoreItem>
</file>

<file path=customXml/itemProps80.xml><?xml version="1.0" encoding="utf-8"?>
<ds:datastoreItem xmlns:ds="http://schemas.openxmlformats.org/officeDocument/2006/customXml" ds:itemID="{C072E004-394A-4088-B511-C85E7BB16739}">
  <ds:schemaRefs/>
</ds:datastoreItem>
</file>

<file path=customXml/itemProps81.xml><?xml version="1.0" encoding="utf-8"?>
<ds:datastoreItem xmlns:ds="http://schemas.openxmlformats.org/officeDocument/2006/customXml" ds:itemID="{B216C8A7-06D4-4A2E-8475-255EC48371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Onstream Performance</vt:lpstr>
      <vt:lpstr>Utility Consumption</vt:lpstr>
      <vt:lpstr>Specific Consumption</vt:lpstr>
      <vt:lpstr>Alarm Statistics</vt:lpstr>
      <vt:lpstr>Production</vt:lpstr>
      <vt:lpstr>planet</vt:lpstr>
      <vt:lpstr>Date</vt:lpstr>
      <vt:lpstr>utility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Biswadeep Banerjee</dc:creator>
  <cp:lastModifiedBy>احمد سامح عبد النبى محمد</cp:lastModifiedBy>
  <dcterms:created xsi:type="dcterms:W3CDTF">2025-10-12T03:07:22Z</dcterms:created>
  <dcterms:modified xsi:type="dcterms:W3CDTF">2025-11-25T13:40:16Z</dcterms:modified>
</cp:coreProperties>
</file>